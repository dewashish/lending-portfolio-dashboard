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washishdey/Downloads/"/>
    </mc:Choice>
  </mc:AlternateContent>
  <xr:revisionPtr revIDLastSave="0" documentId="13_ncr:1_{FEA76706-D717-8446-A7D4-64446CD15AAD}" xr6:coauthVersionLast="47" xr6:coauthVersionMax="47" xr10:uidLastSave="{00000000-0000-0000-0000-000000000000}"/>
  <bookViews>
    <workbookView xWindow="0" yWindow="600" windowWidth="34120" windowHeight="28200" activeTab="9" xr2:uid="{C23A4EC6-8BEF-DF4D-8288-72D6734AF6A5}"/>
  </bookViews>
  <sheets>
    <sheet name="Executive Summary" sheetId="2" r:id="rId1"/>
    <sheet name="Entity Performance" sheetId="3" r:id="rId2"/>
    <sheet name="Product Mix" sheetId="4" r:id="rId3"/>
    <sheet name="Asset Quality" sheetId="5" r:id="rId4"/>
    <sheet name="Concentrations" sheetId="6" r:id="rId5"/>
    <sheet name="Collections &amp; Efficiency" sheetId="7" r:id="rId6"/>
    <sheet name="Watchlist" sheetId="8" r:id="rId7"/>
    <sheet name="EWS Dashboard" sheetId="9" r:id="rId8"/>
    <sheet name="Macro &amp; External Risk" sheetId="10" r:id="rId9"/>
    <sheet name="Raw Data" sheetId="1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7" l="1"/>
  <c r="G15" i="7"/>
  <c r="F15" i="7" a="1"/>
  <c r="F15" i="7" s="1"/>
  <c r="E15" i="7" a="1"/>
  <c r="E15" i="7" s="1"/>
  <c r="D15" i="7" a="1"/>
  <c r="D15" i="7" s="1"/>
  <c r="C15" i="7" a="1"/>
  <c r="C15" i="7" s="1"/>
  <c r="B15" i="7" a="1"/>
  <c r="B15" i="7" s="1"/>
  <c r="H11" i="7"/>
  <c r="G11" i="7"/>
  <c r="D11" i="7"/>
  <c r="C11" i="7" a="1"/>
  <c r="C11" i="7" s="1"/>
  <c r="B11" i="7" a="1"/>
  <c r="B11" i="7" s="1"/>
  <c r="H10" i="7"/>
  <c r="G10" i="7"/>
  <c r="D10" i="7"/>
  <c r="C10" i="7" a="1"/>
  <c r="C10" i="7" s="1"/>
  <c r="B10" i="7" a="1"/>
  <c r="B10" i="7" s="1"/>
  <c r="H9" i="7"/>
  <c r="G9" i="7"/>
  <c r="E9" i="7"/>
  <c r="D9" i="7"/>
  <c r="C9" i="7" a="1"/>
  <c r="C9" i="7" s="1"/>
  <c r="B9" i="7" a="1"/>
  <c r="B9" i="7" s="1"/>
  <c r="H8" i="7"/>
  <c r="G8" i="7"/>
  <c r="E8" i="7"/>
  <c r="D8" i="7"/>
  <c r="C8" i="7" a="1"/>
  <c r="C8" i="7" s="1"/>
  <c r="B8" i="7" a="1"/>
  <c r="B8" i="7" s="1"/>
  <c r="H7" i="7"/>
  <c r="G7" i="7"/>
  <c r="E7" i="7"/>
  <c r="D7" i="7"/>
  <c r="C7" i="7" a="1"/>
  <c r="C7" i="7" s="1"/>
  <c r="B7" i="7" a="1"/>
  <c r="B7" i="7" s="1"/>
  <c r="H6" i="7"/>
  <c r="G6" i="7"/>
  <c r="E6" i="7"/>
  <c r="D6" i="7"/>
  <c r="C6" i="7" a="1"/>
  <c r="C6" i="7" s="1"/>
  <c r="B6" i="7" a="1"/>
  <c r="B6" i="7" s="1"/>
  <c r="F38" i="10"/>
  <c r="F37" i="10"/>
  <c r="F36" i="10"/>
  <c r="F35" i="10"/>
  <c r="F34" i="10"/>
  <c r="G11" i="8"/>
  <c r="F11" i="8"/>
  <c r="E11" i="8"/>
  <c r="D11" i="8"/>
  <c r="C11" i="8"/>
  <c r="B11" i="8"/>
  <c r="H10" i="8"/>
  <c r="G10" i="8"/>
  <c r="F10" i="8"/>
  <c r="E10" i="8"/>
  <c r="D10" i="8"/>
  <c r="C10" i="8"/>
  <c r="B10" i="8"/>
  <c r="H9" i="8"/>
  <c r="G9" i="8"/>
  <c r="F9" i="8"/>
  <c r="E9" i="8"/>
  <c r="D9" i="8"/>
  <c r="C9" i="8"/>
  <c r="B9" i="8"/>
  <c r="H8" i="8"/>
  <c r="G8" i="8"/>
  <c r="F8" i="8"/>
  <c r="E8" i="8"/>
  <c r="D8" i="8"/>
  <c r="C8" i="8"/>
  <c r="B8" i="8"/>
  <c r="H7" i="8"/>
  <c r="G7" i="8"/>
  <c r="F7" i="8"/>
  <c r="E7" i="8"/>
  <c r="D7" i="8"/>
  <c r="C7" i="8"/>
  <c r="B7" i="8"/>
  <c r="H6" i="8"/>
  <c r="G6" i="8"/>
  <c r="F6" i="8"/>
  <c r="E6" i="8"/>
  <c r="D6" i="8"/>
  <c r="C6" i="8"/>
  <c r="B6" i="8"/>
  <c r="D33" i="6"/>
  <c r="C33" i="6"/>
  <c r="B33" i="6"/>
  <c r="E32" i="6"/>
  <c r="C32" i="6"/>
  <c r="D32" i="6" s="1"/>
  <c r="F32" i="6" s="1"/>
  <c r="B32" i="6"/>
  <c r="E31" i="6"/>
  <c r="C31" i="6"/>
  <c r="D31" i="6" s="1"/>
  <c r="F31" i="6" s="1"/>
  <c r="B31" i="6"/>
  <c r="E30" i="6"/>
  <c r="C30" i="6"/>
  <c r="D30" i="6" s="1"/>
  <c r="F30" i="6" s="1"/>
  <c r="B30" i="6"/>
  <c r="E29" i="6"/>
  <c r="C29" i="6"/>
  <c r="D29" i="6" s="1"/>
  <c r="F29" i="6" s="1"/>
  <c r="B29" i="6"/>
  <c r="E28" i="6"/>
  <c r="C28" i="6"/>
  <c r="D28" i="6" s="1"/>
  <c r="F28" i="6" s="1"/>
  <c r="B28" i="6"/>
  <c r="E27" i="6"/>
  <c r="C27" i="6"/>
  <c r="D27" i="6" s="1"/>
  <c r="F27" i="6" s="1"/>
  <c r="B27" i="6"/>
  <c r="E26" i="6"/>
  <c r="C26" i="6"/>
  <c r="D26" i="6" s="1"/>
  <c r="F26" i="6" s="1"/>
  <c r="B26" i="6"/>
  <c r="E25" i="6"/>
  <c r="C25" i="6"/>
  <c r="D25" i="6" s="1"/>
  <c r="F25" i="6" s="1"/>
  <c r="B25" i="6"/>
  <c r="E24" i="6"/>
  <c r="C24" i="6"/>
  <c r="D24" i="6" s="1"/>
  <c r="F24" i="6" s="1"/>
  <c r="B24" i="6"/>
  <c r="E23" i="6"/>
  <c r="C23" i="6"/>
  <c r="D23" i="6" s="1"/>
  <c r="F23" i="6" s="1"/>
  <c r="B23" i="6"/>
  <c r="E22" i="6"/>
  <c r="C22" i="6"/>
  <c r="D22" i="6" s="1"/>
  <c r="F22" i="6" s="1"/>
  <c r="B22" i="6"/>
  <c r="E21" i="6"/>
  <c r="C21" i="6"/>
  <c r="D21" i="6" s="1"/>
  <c r="F21" i="6" s="1"/>
  <c r="B21" i="6"/>
  <c r="F20" i="6"/>
  <c r="E20" i="6"/>
  <c r="D20" i="6"/>
  <c r="C20" i="6"/>
  <c r="B20" i="6"/>
  <c r="F16" i="6"/>
  <c r="E16" i="6"/>
  <c r="D16" i="6"/>
  <c r="H15" i="6"/>
  <c r="G15" i="6"/>
  <c r="F15" i="6"/>
  <c r="E15" i="6"/>
  <c r="D15" i="6"/>
  <c r="H14" i="6"/>
  <c r="G14" i="6"/>
  <c r="F14" i="6"/>
  <c r="E14" i="6"/>
  <c r="D14" i="6"/>
  <c r="H13" i="6"/>
  <c r="G13" i="6"/>
  <c r="F13" i="6"/>
  <c r="E13" i="6"/>
  <c r="D13" i="6"/>
  <c r="H12" i="6"/>
  <c r="G12" i="6"/>
  <c r="F12" i="6"/>
  <c r="E12" i="6"/>
  <c r="D12" i="6"/>
  <c r="H11" i="6"/>
  <c r="G11" i="6"/>
  <c r="F11" i="6"/>
  <c r="E11" i="6"/>
  <c r="D11" i="6"/>
  <c r="H10" i="6"/>
  <c r="G10" i="6"/>
  <c r="F10" i="6"/>
  <c r="E10" i="6"/>
  <c r="D10" i="6"/>
  <c r="H9" i="6"/>
  <c r="G9" i="6"/>
  <c r="F9" i="6"/>
  <c r="E9" i="6"/>
  <c r="D9" i="6"/>
  <c r="H8" i="6"/>
  <c r="G8" i="6"/>
  <c r="F8" i="6"/>
  <c r="E8" i="6"/>
  <c r="D8" i="6"/>
  <c r="H7" i="6"/>
  <c r="G7" i="6"/>
  <c r="F7" i="6"/>
  <c r="E7" i="6"/>
  <c r="D7" i="6"/>
  <c r="H6" i="6"/>
  <c r="G6" i="6"/>
  <c r="F6" i="6"/>
  <c r="E6" i="6"/>
  <c r="D6" i="6"/>
  <c r="F20" i="5"/>
  <c r="E20" i="5"/>
  <c r="D20" i="5"/>
  <c r="C20" i="5"/>
  <c r="F19" i="5"/>
  <c r="E19" i="5"/>
  <c r="D19" i="5" a="1"/>
  <c r="D19" i="5" s="1"/>
  <c r="C19" i="5"/>
  <c r="F18" i="5"/>
  <c r="E18" i="5"/>
  <c r="D18" i="5" a="1"/>
  <c r="D18" i="5" s="1"/>
  <c r="C18" i="5"/>
  <c r="F17" i="5"/>
  <c r="E17" i="5"/>
  <c r="D17" i="5" a="1"/>
  <c r="D17" i="5" s="1"/>
  <c r="C17" i="5"/>
  <c r="F16" i="5"/>
  <c r="E16" i="5"/>
  <c r="D16" i="5" a="1"/>
  <c r="D16" i="5" s="1"/>
  <c r="C16" i="5"/>
  <c r="F15" i="5"/>
  <c r="E15" i="5"/>
  <c r="D15" i="5" a="1"/>
  <c r="D15" i="5" s="1"/>
  <c r="C15" i="5"/>
  <c r="I11" i="5"/>
  <c r="H11" i="5"/>
  <c r="G11" i="5"/>
  <c r="F11" i="5"/>
  <c r="E11" i="5"/>
  <c r="D11" i="5"/>
  <c r="C11" i="5"/>
  <c r="B11" i="5"/>
  <c r="I10" i="5"/>
  <c r="G10" i="5"/>
  <c r="F10" i="5"/>
  <c r="E10" i="5"/>
  <c r="H10" i="5" s="1"/>
  <c r="J10" i="5" s="1"/>
  <c r="D10" i="5"/>
  <c r="C10" i="5"/>
  <c r="B10" i="5"/>
  <c r="J9" i="5"/>
  <c r="I9" i="5"/>
  <c r="H9" i="5"/>
  <c r="G9" i="5"/>
  <c r="F9" i="5"/>
  <c r="E9" i="5"/>
  <c r="D9" i="5"/>
  <c r="C9" i="5"/>
  <c r="B9" i="5"/>
  <c r="I8" i="5"/>
  <c r="G8" i="5"/>
  <c r="F8" i="5"/>
  <c r="E8" i="5"/>
  <c r="H8" i="5" s="1"/>
  <c r="J8" i="5" s="1"/>
  <c r="D8" i="5"/>
  <c r="C8" i="5"/>
  <c r="B8" i="5"/>
  <c r="I7" i="5"/>
  <c r="H7" i="5"/>
  <c r="J7" i="5" s="1"/>
  <c r="G7" i="5"/>
  <c r="F7" i="5"/>
  <c r="E7" i="5"/>
  <c r="D7" i="5"/>
  <c r="C7" i="5"/>
  <c r="B7" i="5"/>
  <c r="J6" i="5"/>
  <c r="I6" i="5"/>
  <c r="H6" i="5"/>
  <c r="G6" i="5"/>
  <c r="F6" i="5"/>
  <c r="E6" i="5"/>
  <c r="D6" i="5"/>
  <c r="C6" i="5"/>
  <c r="B6" i="5"/>
  <c r="G39" i="10"/>
  <c r="F39" i="10"/>
  <c r="J39" i="10" s="1"/>
  <c r="E39" i="10"/>
  <c r="D39" i="10"/>
  <c r="C39" i="10"/>
  <c r="B39" i="10"/>
  <c r="K38" i="10"/>
  <c r="J38" i="10"/>
  <c r="I38" i="10"/>
  <c r="H38" i="10"/>
  <c r="G38" i="10"/>
  <c r="D38" i="10"/>
  <c r="C38" i="10"/>
  <c r="B38" i="10"/>
  <c r="K37" i="10"/>
  <c r="J37" i="10"/>
  <c r="I37" i="10"/>
  <c r="H37" i="10"/>
  <c r="G37" i="10"/>
  <c r="D37" i="10"/>
  <c r="C37" i="10"/>
  <c r="B37" i="10"/>
  <c r="K36" i="10"/>
  <c r="J36" i="10"/>
  <c r="I36" i="10"/>
  <c r="H36" i="10"/>
  <c r="G36" i="10"/>
  <c r="D36" i="10"/>
  <c r="C36" i="10"/>
  <c r="B36" i="10"/>
  <c r="K35" i="10"/>
  <c r="J35" i="10"/>
  <c r="I35" i="10"/>
  <c r="H35" i="10"/>
  <c r="G35" i="10"/>
  <c r="D35" i="10"/>
  <c r="C35" i="10"/>
  <c r="B35" i="10"/>
  <c r="K34" i="10"/>
  <c r="J34" i="10"/>
  <c r="I34" i="10"/>
  <c r="H34" i="10"/>
  <c r="G34" i="10"/>
  <c r="D34" i="10"/>
  <c r="C34" i="10"/>
  <c r="B34" i="10"/>
  <c r="K21" i="10"/>
  <c r="J21" i="10"/>
  <c r="K20" i="10"/>
  <c r="K19" i="10"/>
  <c r="K18" i="10"/>
  <c r="K17" i="10"/>
  <c r="K16" i="10"/>
  <c r="K15" i="10"/>
  <c r="H11" i="10"/>
  <c r="G11" i="10"/>
  <c r="K10" i="10"/>
  <c r="H10" i="10"/>
  <c r="G10" i="10"/>
  <c r="K9" i="10"/>
  <c r="H9" i="10"/>
  <c r="G9" i="10"/>
  <c r="K8" i="10"/>
  <c r="H8" i="10"/>
  <c r="G8" i="10"/>
  <c r="K7" i="10"/>
  <c r="H7" i="10"/>
  <c r="G7" i="10"/>
  <c r="K6" i="10"/>
  <c r="H6" i="10"/>
  <c r="G6" i="10"/>
  <c r="F28" i="9"/>
  <c r="E28" i="9"/>
  <c r="G26" i="9"/>
  <c r="E26" i="9"/>
  <c r="D26" i="9"/>
  <c r="G25" i="9"/>
  <c r="E25" i="9"/>
  <c r="D25" i="9"/>
  <c r="G24" i="9"/>
  <c r="E24" i="9"/>
  <c r="D24" i="9"/>
  <c r="G23" i="9"/>
  <c r="E23" i="9"/>
  <c r="D23" i="9"/>
  <c r="J19" i="9"/>
  <c r="I19" i="9"/>
  <c r="J18" i="9"/>
  <c r="I18" i="9"/>
  <c r="J17" i="9"/>
  <c r="I17" i="9"/>
  <c r="J16" i="9"/>
  <c r="I16" i="9"/>
  <c r="J15" i="9"/>
  <c r="I15" i="9"/>
  <c r="F19" i="9"/>
  <c r="E19" i="9"/>
  <c r="D19" i="9"/>
  <c r="C19" i="9"/>
  <c r="F18" i="9"/>
  <c r="F17" i="9"/>
  <c r="F16" i="9"/>
  <c r="I11" i="9"/>
  <c r="H11" i="9"/>
  <c r="G11" i="9"/>
  <c r="F11" i="9"/>
  <c r="E11" i="9"/>
  <c r="D11" i="9"/>
  <c r="C11" i="9"/>
  <c r="B11" i="9"/>
  <c r="J10" i="9"/>
  <c r="I10" i="9"/>
  <c r="H10" i="9"/>
  <c r="G10" i="9"/>
  <c r="F10" i="9"/>
  <c r="E10" i="9"/>
  <c r="D10" i="9"/>
  <c r="C10" i="9"/>
  <c r="B10" i="9"/>
  <c r="J9" i="9"/>
  <c r="I9" i="9"/>
  <c r="H9" i="9"/>
  <c r="G9" i="9"/>
  <c r="F9" i="9"/>
  <c r="E9" i="9"/>
  <c r="D9" i="9"/>
  <c r="C9" i="9"/>
  <c r="B9" i="9"/>
  <c r="J8" i="9"/>
  <c r="I8" i="9"/>
  <c r="H8" i="9"/>
  <c r="G8" i="9"/>
  <c r="F8" i="9"/>
  <c r="E8" i="9"/>
  <c r="D8" i="9"/>
  <c r="C8" i="9"/>
  <c r="B8" i="9"/>
  <c r="J7" i="9"/>
  <c r="I7" i="9"/>
  <c r="H7" i="9"/>
  <c r="G7" i="9"/>
  <c r="F7" i="9"/>
  <c r="E7" i="9"/>
  <c r="D7" i="9"/>
  <c r="C7" i="9"/>
  <c r="B7" i="9"/>
  <c r="J6" i="9"/>
  <c r="I6" i="9"/>
  <c r="H6" i="9"/>
  <c r="G6" i="9"/>
  <c r="F6" i="9"/>
  <c r="E6" i="9"/>
  <c r="D6" i="9"/>
  <c r="C6" i="9"/>
  <c r="B6" i="9"/>
  <c r="AA81" i="1"/>
  <c r="AB81" i="1" s="1"/>
  <c r="AA80" i="1"/>
  <c r="AB80" i="1" s="1"/>
  <c r="AA79" i="1"/>
  <c r="AB79" i="1" s="1"/>
  <c r="AA78" i="1"/>
  <c r="AB78" i="1" s="1"/>
  <c r="AA77" i="1"/>
  <c r="AB77" i="1" s="1"/>
  <c r="AA76" i="1"/>
  <c r="AB76" i="1" s="1"/>
  <c r="AA75" i="1"/>
  <c r="AB75" i="1" s="1"/>
  <c r="AA74" i="1"/>
  <c r="AB74" i="1" s="1"/>
  <c r="AA73" i="1"/>
  <c r="AB73" i="1" s="1"/>
  <c r="AA72" i="1"/>
  <c r="AB72" i="1" s="1"/>
  <c r="AA71" i="1"/>
  <c r="AB71" i="1" s="1"/>
  <c r="AA70" i="1"/>
  <c r="AB70" i="1" s="1"/>
  <c r="AA69" i="1"/>
  <c r="AB69" i="1" s="1"/>
  <c r="AA68" i="1"/>
  <c r="AB68" i="1" s="1"/>
  <c r="AA67" i="1"/>
  <c r="AB67" i="1" s="1"/>
  <c r="AA66" i="1"/>
  <c r="AB66" i="1" s="1"/>
  <c r="AA65" i="1"/>
  <c r="AB65" i="1" s="1"/>
  <c r="AA64" i="1"/>
  <c r="AB64" i="1" s="1"/>
  <c r="AA63" i="1"/>
  <c r="AB63" i="1" s="1"/>
  <c r="AA62" i="1"/>
  <c r="AB62" i="1" s="1"/>
  <c r="AA61" i="1"/>
  <c r="AB61" i="1" s="1"/>
  <c r="AA60" i="1"/>
  <c r="AB60" i="1" s="1"/>
  <c r="AA59" i="1"/>
  <c r="AB59" i="1" s="1"/>
  <c r="AA58" i="1"/>
  <c r="AB58" i="1" s="1"/>
  <c r="AA57" i="1"/>
  <c r="AB57" i="1" s="1"/>
  <c r="AA56" i="1"/>
  <c r="AB56" i="1" s="1"/>
  <c r="AA55" i="1"/>
  <c r="AB55" i="1" s="1"/>
  <c r="AA54" i="1"/>
  <c r="AB54" i="1" s="1"/>
  <c r="AA53" i="1"/>
  <c r="AB53" i="1" s="1"/>
  <c r="AA52" i="1"/>
  <c r="AB52" i="1" s="1"/>
  <c r="AA51" i="1"/>
  <c r="AB51" i="1" s="1"/>
  <c r="AA50" i="1"/>
  <c r="AB50" i="1" s="1"/>
  <c r="AA49" i="1"/>
  <c r="AB49" i="1" s="1"/>
  <c r="AA48" i="1"/>
  <c r="AB48" i="1" s="1"/>
  <c r="AA47" i="1"/>
  <c r="AB47" i="1" s="1"/>
  <c r="AA46" i="1"/>
  <c r="AB46" i="1" s="1"/>
  <c r="AA45" i="1"/>
  <c r="AB45" i="1" s="1"/>
  <c r="AA44" i="1"/>
  <c r="AB44" i="1" s="1"/>
  <c r="AA43" i="1"/>
  <c r="AB43" i="1" s="1"/>
  <c r="AA42" i="1"/>
  <c r="AB42" i="1" s="1"/>
  <c r="AA41" i="1"/>
  <c r="AB41" i="1" s="1"/>
  <c r="AA40" i="1"/>
  <c r="AB40" i="1" s="1"/>
  <c r="AA39" i="1"/>
  <c r="AB39" i="1" s="1"/>
  <c r="AA38" i="1"/>
  <c r="AB38" i="1" s="1"/>
  <c r="AA37" i="1"/>
  <c r="AB37" i="1" s="1"/>
  <c r="AA36" i="1"/>
  <c r="AB36" i="1" s="1"/>
  <c r="AA35" i="1"/>
  <c r="AB35" i="1" s="1"/>
  <c r="AA34" i="1"/>
  <c r="AB34" i="1" s="1"/>
  <c r="AA33" i="1"/>
  <c r="AB33" i="1" s="1"/>
  <c r="AA32" i="1"/>
  <c r="AB32" i="1" s="1"/>
  <c r="AA31" i="1"/>
  <c r="AB31" i="1" s="1"/>
  <c r="AA30" i="1"/>
  <c r="AB30" i="1" s="1"/>
  <c r="AA29" i="1"/>
  <c r="AB29" i="1" s="1"/>
  <c r="AA28" i="1"/>
  <c r="AB28" i="1" s="1"/>
  <c r="AA27" i="1"/>
  <c r="AB27" i="1" s="1"/>
  <c r="AA26" i="1"/>
  <c r="AB26" i="1" s="1"/>
  <c r="AA25" i="1"/>
  <c r="AB25" i="1" s="1"/>
  <c r="AA24" i="1"/>
  <c r="AB24" i="1" s="1"/>
  <c r="AA23" i="1"/>
  <c r="AB23" i="1" s="1"/>
  <c r="AA22" i="1"/>
  <c r="AB22" i="1" s="1"/>
  <c r="AA21" i="1"/>
  <c r="AB21" i="1" s="1"/>
  <c r="AA20" i="1"/>
  <c r="AB20" i="1" s="1"/>
  <c r="AA19" i="1"/>
  <c r="AB19" i="1" s="1"/>
  <c r="AA18" i="1"/>
  <c r="AB18" i="1" s="1"/>
  <c r="AA17" i="1"/>
  <c r="AB17" i="1" s="1"/>
  <c r="AA16" i="1"/>
  <c r="AB16" i="1" s="1"/>
  <c r="AA15" i="1"/>
  <c r="AB15" i="1" s="1"/>
  <c r="AA14" i="1"/>
  <c r="AB14" i="1" s="1"/>
  <c r="AA13" i="1"/>
  <c r="AB13" i="1" s="1"/>
  <c r="AA12" i="1"/>
  <c r="AB12" i="1" s="1"/>
  <c r="AA11" i="1"/>
  <c r="AB11" i="1" s="1"/>
  <c r="AA10" i="1"/>
  <c r="AB10" i="1" s="1"/>
  <c r="AA9" i="1"/>
  <c r="AB9" i="1" s="1"/>
  <c r="AA8" i="1"/>
  <c r="AB8" i="1" s="1"/>
  <c r="AA7" i="1"/>
  <c r="AB7" i="1" s="1"/>
  <c r="AA6" i="1"/>
  <c r="AB6" i="1" s="1"/>
  <c r="AA5" i="1"/>
  <c r="AB5" i="1" s="1"/>
  <c r="AA4" i="1"/>
  <c r="AB4" i="1" s="1"/>
  <c r="AA3" i="1"/>
  <c r="AB3" i="1" s="1"/>
  <c r="AB2" i="1"/>
  <c r="AA2" i="1"/>
  <c r="J15" i="4"/>
  <c r="I15" i="4"/>
  <c r="H15" i="4"/>
  <c r="G15" i="4"/>
  <c r="F15" i="4"/>
  <c r="E15" i="4"/>
  <c r="D15" i="4"/>
  <c r="C15" i="4"/>
  <c r="B15" i="4"/>
  <c r="J14" i="4"/>
  <c r="F14" i="4"/>
  <c r="D14" i="4"/>
  <c r="H14" i="4" s="1"/>
  <c r="C14" i="4"/>
  <c r="G14" i="4" s="1"/>
  <c r="B14" i="4"/>
  <c r="I14" i="4" s="1"/>
  <c r="J13" i="4"/>
  <c r="E13" i="4"/>
  <c r="D13" i="4"/>
  <c r="H13" i="4" s="1"/>
  <c r="C13" i="4"/>
  <c r="G13" i="4" s="1"/>
  <c r="B13" i="4"/>
  <c r="I13" i="4" s="1"/>
  <c r="J12" i="4"/>
  <c r="E12" i="4"/>
  <c r="D12" i="4"/>
  <c r="H12" i="4" s="1"/>
  <c r="C12" i="4"/>
  <c r="G12" i="4" s="1"/>
  <c r="B12" i="4"/>
  <c r="F12" i="4" s="1"/>
  <c r="J11" i="4"/>
  <c r="D11" i="4"/>
  <c r="E11" i="4" s="1"/>
  <c r="C11" i="4"/>
  <c r="G11" i="4" s="1"/>
  <c r="B11" i="4"/>
  <c r="F11" i="4" s="1"/>
  <c r="J10" i="4"/>
  <c r="I10" i="4"/>
  <c r="H10" i="4"/>
  <c r="D10" i="4"/>
  <c r="E10" i="4" s="1"/>
  <c r="C10" i="4"/>
  <c r="G10" i="4" s="1"/>
  <c r="B10" i="4"/>
  <c r="F10" i="4" s="1"/>
  <c r="J9" i="4"/>
  <c r="I9" i="4"/>
  <c r="H9" i="4"/>
  <c r="G9" i="4"/>
  <c r="E9" i="4"/>
  <c r="D9" i="4"/>
  <c r="C9" i="4"/>
  <c r="B9" i="4"/>
  <c r="F9" i="4" s="1"/>
  <c r="J8" i="4"/>
  <c r="I8" i="4"/>
  <c r="H8" i="4"/>
  <c r="G8" i="4"/>
  <c r="F8" i="4"/>
  <c r="E8" i="4"/>
  <c r="D8" i="4"/>
  <c r="C8" i="4"/>
  <c r="B8" i="4"/>
  <c r="J7" i="4"/>
  <c r="I7" i="4"/>
  <c r="H7" i="4"/>
  <c r="G7" i="4"/>
  <c r="F7" i="4"/>
  <c r="D7" i="4"/>
  <c r="E7" i="4" s="1"/>
  <c r="C7" i="4"/>
  <c r="B7" i="4"/>
  <c r="J6" i="4"/>
  <c r="I6" i="4"/>
  <c r="H6" i="4"/>
  <c r="G6" i="4"/>
  <c r="F6" i="4"/>
  <c r="E6" i="4"/>
  <c r="D6" i="4"/>
  <c r="C6" i="4"/>
  <c r="B6" i="4"/>
  <c r="J5" i="4"/>
  <c r="F5" i="4"/>
  <c r="D5" i="4"/>
  <c r="H5" i="4" s="1"/>
  <c r="C5" i="4"/>
  <c r="B5" i="4"/>
  <c r="I5" i="4" s="1"/>
  <c r="J4" i="4"/>
  <c r="I4" i="4"/>
  <c r="H4" i="4"/>
  <c r="G4" i="4"/>
  <c r="F4" i="4"/>
  <c r="E4" i="4"/>
  <c r="D4" i="4"/>
  <c r="C4" i="4"/>
  <c r="B4" i="4"/>
  <c r="K11" i="3"/>
  <c r="J11" i="3"/>
  <c r="I11" i="3"/>
  <c r="H11" i="3"/>
  <c r="G11" i="3"/>
  <c r="F11" i="3"/>
  <c r="L11" i="3"/>
  <c r="E11" i="3"/>
  <c r="D11" i="3"/>
  <c r="C11" i="3"/>
  <c r="L10" i="3"/>
  <c r="K10" i="3"/>
  <c r="J10" i="3"/>
  <c r="I10" i="3"/>
  <c r="H10" i="3"/>
  <c r="G10" i="3"/>
  <c r="F10" i="3"/>
  <c r="E10" i="3"/>
  <c r="D10" i="3"/>
  <c r="L9" i="3"/>
  <c r="K9" i="3"/>
  <c r="J9" i="3"/>
  <c r="I9" i="3"/>
  <c r="H9" i="3"/>
  <c r="G9" i="3"/>
  <c r="F9" i="3"/>
  <c r="E9" i="3"/>
  <c r="D9" i="3"/>
  <c r="L8" i="3"/>
  <c r="K8" i="3"/>
  <c r="J8" i="3"/>
  <c r="I8" i="3"/>
  <c r="H8" i="3"/>
  <c r="G8" i="3"/>
  <c r="F8" i="3"/>
  <c r="E8" i="3"/>
  <c r="D8" i="3"/>
  <c r="L7" i="3"/>
  <c r="K7" i="3"/>
  <c r="J7" i="3"/>
  <c r="I7" i="3"/>
  <c r="H7" i="3"/>
  <c r="G7" i="3"/>
  <c r="F7" i="3"/>
  <c r="E7" i="3"/>
  <c r="D7" i="3"/>
  <c r="L6" i="3"/>
  <c r="K6" i="3"/>
  <c r="J6" i="3"/>
  <c r="I6" i="3"/>
  <c r="H6" i="3"/>
  <c r="G6" i="3"/>
  <c r="F6" i="3"/>
  <c r="E6" i="3"/>
  <c r="D6" i="3"/>
  <c r="K20" i="2"/>
  <c r="J20" i="2"/>
  <c r="I20" i="2"/>
  <c r="H20" i="2"/>
  <c r="G20" i="2"/>
  <c r="F20" i="2"/>
  <c r="E20" i="2"/>
  <c r="D20" i="2"/>
  <c r="C20" i="2"/>
  <c r="L19" i="2"/>
  <c r="K19" i="2"/>
  <c r="J19" i="2"/>
  <c r="I19" i="2"/>
  <c r="H19" i="2" a="1"/>
  <c r="H19" i="2" s="1"/>
  <c r="G19" i="2"/>
  <c r="F19" i="2"/>
  <c r="E19" i="2"/>
  <c r="D19" i="2"/>
  <c r="C19" i="2"/>
  <c r="L18" i="2"/>
  <c r="K18" i="2"/>
  <c r="J18" i="2"/>
  <c r="I18" i="2"/>
  <c r="H18" i="2" a="1"/>
  <c r="H18" i="2" s="1"/>
  <c r="G18" i="2"/>
  <c r="F18" i="2"/>
  <c r="E18" i="2"/>
  <c r="D18" i="2"/>
  <c r="C18" i="2"/>
  <c r="L17" i="2"/>
  <c r="K17" i="2"/>
  <c r="J17" i="2"/>
  <c r="I17" i="2"/>
  <c r="H17" i="2" a="1"/>
  <c r="H17" i="2" s="1"/>
  <c r="G17" i="2"/>
  <c r="F17" i="2"/>
  <c r="E17" i="2"/>
  <c r="D17" i="2"/>
  <c r="C17" i="2"/>
  <c r="L16" i="2"/>
  <c r="K16" i="2"/>
  <c r="J16" i="2"/>
  <c r="I16" i="2"/>
  <c r="H16" i="2" a="1"/>
  <c r="H16" i="2" s="1"/>
  <c r="G16" i="2"/>
  <c r="F16" i="2"/>
  <c r="E16" i="2"/>
  <c r="D16" i="2"/>
  <c r="C16" i="2"/>
  <c r="L15" i="2"/>
  <c r="K15" i="2"/>
  <c r="J15" i="2"/>
  <c r="I15" i="2"/>
  <c r="H15" i="2" a="1"/>
  <c r="H15" i="2" s="1"/>
  <c r="G15" i="2"/>
  <c r="F15" i="2"/>
  <c r="E15" i="2"/>
  <c r="D15" i="2"/>
  <c r="C15" i="2"/>
  <c r="K11" i="2"/>
  <c r="I11" i="2"/>
  <c r="E11" i="2"/>
  <c r="D11" i="2"/>
  <c r="B11" i="2"/>
  <c r="K10" i="2"/>
  <c r="I10" i="2"/>
  <c r="E10" i="2"/>
  <c r="D10" i="2"/>
  <c r="B10" i="2"/>
  <c r="K9" i="2"/>
  <c r="I9" i="2"/>
  <c r="E9" i="2"/>
  <c r="D9" i="2"/>
  <c r="B9" i="2" a="1"/>
  <c r="B9" i="2" s="1"/>
  <c r="K8" i="2"/>
  <c r="I8" i="2"/>
  <c r="E8" i="2"/>
  <c r="D8" i="2"/>
  <c r="C8" i="2"/>
  <c r="B8" i="2"/>
  <c r="K7" i="2"/>
  <c r="I7" i="2"/>
  <c r="E7" i="2"/>
  <c r="D7" i="2"/>
  <c r="C7" i="2"/>
  <c r="B7" i="2"/>
  <c r="K6" i="2"/>
  <c r="I6" i="2"/>
  <c r="E6" i="2"/>
  <c r="D6" i="2"/>
  <c r="B6" i="2"/>
  <c r="I39" i="10" l="1"/>
  <c r="K39" i="10"/>
  <c r="H11" i="4"/>
  <c r="I12" i="4"/>
  <c r="I11" i="4"/>
  <c r="E5" i="4"/>
  <c r="E14" i="4"/>
  <c r="G5" i="4"/>
  <c r="F1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<sst xmlns="http://schemas.openxmlformats.org/spreadsheetml/2006/main" count="1594" uniqueCount="591">
  <si>
    <t>Facility Reference</t>
  </si>
  <si>
    <t>Obligor Name</t>
  </si>
  <si>
    <t>Region</t>
  </si>
  <si>
    <t>Country</t>
  </si>
  <si>
    <t>Sector</t>
  </si>
  <si>
    <t>Commodity</t>
  </si>
  <si>
    <t>Product Type</t>
  </si>
  <si>
    <t>Currency</t>
  </si>
  <si>
    <t>Facility Limit (USD mm)</t>
  </si>
  <si>
    <t>Outstanding (USD mm)</t>
  </si>
  <si>
    <t>Prev Month Outstanding (USD mm)</t>
  </si>
  <si>
    <t>Tenor (Days)</t>
  </si>
  <si>
    <t>Start Date</t>
  </si>
  <si>
    <t>Maturity Date</t>
  </si>
  <si>
    <t>Internal Rating (1-10)</t>
  </si>
  <si>
    <t>External Rating</t>
  </si>
  <si>
    <t>Days Past Due</t>
  </si>
  <si>
    <t>IFRS 9 Stage</t>
  </si>
  <si>
    <t>Provision Rate</t>
  </si>
  <si>
    <t>Provision Amount (USD mm)</t>
  </si>
  <si>
    <t>Collateral Value (USD mm)</t>
  </si>
  <si>
    <t>Collateral Coverage (%)</t>
  </si>
  <si>
    <t>Risk Weight</t>
  </si>
  <si>
    <t>Counterparty Bank</t>
  </si>
  <si>
    <t>Watchlist Flag</t>
  </si>
  <si>
    <t>TF-1001</t>
  </si>
  <si>
    <t>JBS Trading</t>
  </si>
  <si>
    <t>LATAM</t>
  </si>
  <si>
    <t>Brazil</t>
  </si>
  <si>
    <t>Agriculture &amp; Food</t>
  </si>
  <si>
    <t>Rice</t>
  </si>
  <si>
    <t>Trade Loan - Post-Import</t>
  </si>
  <si>
    <t>USD</t>
  </si>
  <si>
    <t>BBB</t>
  </si>
  <si>
    <t>Stage 1</t>
  </si>
  <si>
    <t>N/A</t>
  </si>
  <si>
    <t>No</t>
  </si>
  <si>
    <t>TF-1002</t>
  </si>
  <si>
    <t>Reliance Industries</t>
  </si>
  <si>
    <t>India</t>
  </si>
  <si>
    <t>Sugar</t>
  </si>
  <si>
    <t>Import LC</t>
  </si>
  <si>
    <t>A</t>
  </si>
  <si>
    <t>Standard Chartered</t>
  </si>
  <si>
    <t>TF-1003</t>
  </si>
  <si>
    <t>Engro Corporation</t>
  </si>
  <si>
    <t>Pakistan</t>
  </si>
  <si>
    <t>Petrochemicals</t>
  </si>
  <si>
    <t>PVC</t>
  </si>
  <si>
    <t>BBB+</t>
  </si>
  <si>
    <t>Barclays</t>
  </si>
  <si>
    <t>TF-1004</t>
  </si>
  <si>
    <t>Vitol BV</t>
  </si>
  <si>
    <t>Europe</t>
  </si>
  <si>
    <t>Netherlands</t>
  </si>
  <si>
    <t>Metals &amp; Mining</t>
  </si>
  <si>
    <t>Aluminum</t>
  </si>
  <si>
    <t>Export LC</t>
  </si>
  <si>
    <t>A+</t>
  </si>
  <si>
    <t>Access Bank</t>
  </si>
  <si>
    <t>TF-1005</t>
  </si>
  <si>
    <t>Gulf Petrochem</t>
  </si>
  <si>
    <t>UAE</t>
  </si>
  <si>
    <t>Manufacturing</t>
  </si>
  <si>
    <t>Machinery</t>
  </si>
  <si>
    <t>Trade Loan - Pre-Export</t>
  </si>
  <si>
    <t>TF-1006</t>
  </si>
  <si>
    <t>Tabreed</t>
  </si>
  <si>
    <t>Consumer Goods</t>
  </si>
  <si>
    <t>FMCG</t>
  </si>
  <si>
    <t>Commerzbank</t>
  </si>
  <si>
    <t>TF-1007</t>
  </si>
  <si>
    <t>Electronics &amp; Technology</t>
  </si>
  <si>
    <t>Consumer Electronics</t>
  </si>
  <si>
    <t>Supply Chain Finance</t>
  </si>
  <si>
    <t>TF-1008</t>
  </si>
  <si>
    <t>Sappi Limited</t>
  </si>
  <si>
    <t>Africa</t>
  </si>
  <si>
    <t>South Africa</t>
  </si>
  <si>
    <t>Palm Oil</t>
  </si>
  <si>
    <t>Citi</t>
  </si>
  <si>
    <t>TF-1009</t>
  </si>
  <si>
    <t>Orascom Construction</t>
  </si>
  <si>
    <t>Egypt</t>
  </si>
  <si>
    <t>Oil &amp; Gas</t>
  </si>
  <si>
    <t>LNG</t>
  </si>
  <si>
    <t>Bank Guarantee - Performance</t>
  </si>
  <si>
    <t>ING Bank</t>
  </si>
  <si>
    <t>TF-1010</t>
  </si>
  <si>
    <t>Al Ghurair Resources</t>
  </si>
  <si>
    <t>Shipping &amp; Logistics</t>
  </si>
  <si>
    <t>Freight</t>
  </si>
  <si>
    <t>BB+</t>
  </si>
  <si>
    <t>TF-1011</t>
  </si>
  <si>
    <t>Coffee</t>
  </si>
  <si>
    <t>Credit Agricole</t>
  </si>
  <si>
    <t>TF-1012</t>
  </si>
  <si>
    <t>National Marine Dredging</t>
  </si>
  <si>
    <t>JP Morgan</t>
  </si>
  <si>
    <t>TF-1013</t>
  </si>
  <si>
    <t>ADNOC Distribution</t>
  </si>
  <si>
    <t>Deutsche Bank</t>
  </si>
  <si>
    <t>TF-1014</t>
  </si>
  <si>
    <t>Tata Steel Trading</t>
  </si>
  <si>
    <t>Semiconductors</t>
  </si>
  <si>
    <t>TF-1015</t>
  </si>
  <si>
    <t>Eastern Company</t>
  </si>
  <si>
    <t>Pharmaceuticals</t>
  </si>
  <si>
    <t>Finished Drugs</t>
  </si>
  <si>
    <t>Documentary Collection - D/P</t>
  </si>
  <si>
    <t>TF-1016</t>
  </si>
  <si>
    <t>Glencore UK</t>
  </si>
  <si>
    <t>UK</t>
  </si>
  <si>
    <t>Refined Products</t>
  </si>
  <si>
    <t>BNP Paribas</t>
  </si>
  <si>
    <t>TF-1017</t>
  </si>
  <si>
    <t>Dangote Group</t>
  </si>
  <si>
    <t>Nigeria</t>
  </si>
  <si>
    <t>TF-1018</t>
  </si>
  <si>
    <t>Al Habtoor Group</t>
  </si>
  <si>
    <t>Steel</t>
  </si>
  <si>
    <t>HSBC</t>
  </si>
  <si>
    <t>TF-1019</t>
  </si>
  <si>
    <t>Mashreq Corporate</t>
  </si>
  <si>
    <t>Wheat</t>
  </si>
  <si>
    <t>AA</t>
  </si>
  <si>
    <t>TF-1020</t>
  </si>
  <si>
    <t>BP Trading</t>
  </si>
  <si>
    <t>Crude Oil</t>
  </si>
  <si>
    <t>TF-1021</t>
  </si>
  <si>
    <t>Trafigura UK</t>
  </si>
  <si>
    <t>TF-1022</t>
  </si>
  <si>
    <t>Emirates Trading Agency</t>
  </si>
  <si>
    <t>Urea</t>
  </si>
  <si>
    <t>TF-1023</t>
  </si>
  <si>
    <t>Adani Enterprises</t>
  </si>
  <si>
    <t>Telecom Equipment</t>
  </si>
  <si>
    <t>Bank Guarantee - Financial</t>
  </si>
  <si>
    <t>ICICI</t>
  </si>
  <si>
    <t>TF-1024</t>
  </si>
  <si>
    <t>Vedanta Resources</t>
  </si>
  <si>
    <t>BB</t>
  </si>
  <si>
    <t>Stage 2</t>
  </si>
  <si>
    <t>SBI</t>
  </si>
  <si>
    <t>Yes</t>
  </si>
  <si>
    <t>TF-1025</t>
  </si>
  <si>
    <t>Hindalco Industries</t>
  </si>
  <si>
    <t>Industrial Equipment</t>
  </si>
  <si>
    <t>TF-1026</t>
  </si>
  <si>
    <t>Lucky Cement</t>
  </si>
  <si>
    <t>Cotton</t>
  </si>
  <si>
    <t>HBL</t>
  </si>
  <si>
    <t>TF-1027</t>
  </si>
  <si>
    <t>BUA Cement</t>
  </si>
  <si>
    <t>Natural Gas</t>
  </si>
  <si>
    <t>Zenith Bank</t>
  </si>
  <si>
    <t>TF-1028</t>
  </si>
  <si>
    <t>CEMEX SAB</t>
  </si>
  <si>
    <t>Mexico</t>
  </si>
  <si>
    <t>TF-1029</t>
  </si>
  <si>
    <t>Emaar Properties</t>
  </si>
  <si>
    <t>TF-1030</t>
  </si>
  <si>
    <t>Packaged Food</t>
  </si>
  <si>
    <t>TF-1031</t>
  </si>
  <si>
    <t>Siemens Energy</t>
  </si>
  <si>
    <t>Germany</t>
  </si>
  <si>
    <t>Utilities &amp; Power</t>
  </si>
  <si>
    <t>Transformers</t>
  </si>
  <si>
    <t>TF-1032</t>
  </si>
  <si>
    <t>Trafigura NL</t>
  </si>
  <si>
    <t>TF-1033</t>
  </si>
  <si>
    <t>Fauji Fertilizer</t>
  </si>
  <si>
    <t>TF-1034</t>
  </si>
  <si>
    <t>Construction &amp; Real Estate</t>
  </si>
  <si>
    <t>Steel Bars</t>
  </si>
  <si>
    <t>TF-1035</t>
  </si>
  <si>
    <t>Schneider Electric</t>
  </si>
  <si>
    <t>France</t>
  </si>
  <si>
    <t>Cables</t>
  </si>
  <si>
    <t>TF-1036</t>
  </si>
  <si>
    <t>Attock Petroleum</t>
  </si>
  <si>
    <t>UBL</t>
  </si>
  <si>
    <t>TF-1037</t>
  </si>
  <si>
    <t>Textiles &amp; Apparel</t>
  </si>
  <si>
    <t>Garments</t>
  </si>
  <si>
    <t>Documentary Collection - D/A</t>
  </si>
  <si>
    <t>TF-1038</t>
  </si>
  <si>
    <t>Anglo American SA</t>
  </si>
  <si>
    <t>Iron Ore</t>
  </si>
  <si>
    <t>TF-1039</t>
  </si>
  <si>
    <t>Oando PLC</t>
  </si>
  <si>
    <t>TF-1040</t>
  </si>
  <si>
    <t>JSW Steel</t>
  </si>
  <si>
    <t>TF-1041</t>
  </si>
  <si>
    <t>Bank Guarantee - Bid Bond</t>
  </si>
  <si>
    <t>TF-1042</t>
  </si>
  <si>
    <t>TF-1043</t>
  </si>
  <si>
    <t>Safaricom Trade</t>
  </si>
  <si>
    <t>Kenya</t>
  </si>
  <si>
    <t>TF-1044</t>
  </si>
  <si>
    <t>Sasol Limited</t>
  </si>
  <si>
    <t>Methanol</t>
  </si>
  <si>
    <t>TF-1045</t>
  </si>
  <si>
    <t>Bharti Airtel Corp</t>
  </si>
  <si>
    <t>TF-1046</t>
  </si>
  <si>
    <t>Glencore Intl</t>
  </si>
  <si>
    <t>Switzerland</t>
  </si>
  <si>
    <t>Copper</t>
  </si>
  <si>
    <t>TF-1047</t>
  </si>
  <si>
    <t>Agility Abu Dhabi</t>
  </si>
  <si>
    <t>Containers</t>
  </si>
  <si>
    <t>TF-1048</t>
  </si>
  <si>
    <t>UltraTech Cement</t>
  </si>
  <si>
    <t>Cement</t>
  </si>
  <si>
    <t>TF-1049</t>
  </si>
  <si>
    <t>Ecopetrol Trading</t>
  </si>
  <si>
    <t>Colombia</t>
  </si>
  <si>
    <t>Bradesco</t>
  </si>
  <si>
    <t>TF-1050</t>
  </si>
  <si>
    <t>Bunge Europe</t>
  </si>
  <si>
    <t>TF-1051</t>
  </si>
  <si>
    <t>Petrobras Trading</t>
  </si>
  <si>
    <t>TF-1052</t>
  </si>
  <si>
    <t>Grupo Argos</t>
  </si>
  <si>
    <t>Banorte</t>
  </si>
  <si>
    <t>TF-1053</t>
  </si>
  <si>
    <t>Gunvor Group</t>
  </si>
  <si>
    <t>TF-1054</t>
  </si>
  <si>
    <t>BASF SE</t>
  </si>
  <si>
    <t>Polyethylene</t>
  </si>
  <si>
    <t>TF-1055</t>
  </si>
  <si>
    <t>Packages Limited</t>
  </si>
  <si>
    <t>Cotton Yarn</t>
  </si>
  <si>
    <t>TF-1056</t>
  </si>
  <si>
    <t>Forfaiting</t>
  </si>
  <si>
    <t>TF-1057</t>
  </si>
  <si>
    <t>Codelco</t>
  </si>
  <si>
    <t>Chile</t>
  </si>
  <si>
    <t>AAA</t>
  </si>
  <si>
    <t>BBVA</t>
  </si>
  <si>
    <t>TF-1058</t>
  </si>
  <si>
    <t>Nishat Mills</t>
  </si>
  <si>
    <t>Fabric</t>
  </si>
  <si>
    <t>TF-1059</t>
  </si>
  <si>
    <t>Mercuria Energy</t>
  </si>
  <si>
    <t>TF-1060</t>
  </si>
  <si>
    <t>Bamburi Cement</t>
  </si>
  <si>
    <t>TF-1061</t>
  </si>
  <si>
    <t>Vale SA</t>
  </si>
  <si>
    <t>TF-1062</t>
  </si>
  <si>
    <t>AngloGold Ashanti</t>
  </si>
  <si>
    <t>Ghana</t>
  </si>
  <si>
    <t>Gold</t>
  </si>
  <si>
    <t>TF-1063</t>
  </si>
  <si>
    <t>Thyssenkrupp AG</t>
  </si>
  <si>
    <t>Auto Parts</t>
  </si>
  <si>
    <t>TF-1064</t>
  </si>
  <si>
    <t>Seplat Energy</t>
  </si>
  <si>
    <t>B+</t>
  </si>
  <si>
    <t>TF-1065</t>
  </si>
  <si>
    <t>Infosys BPM Trade</t>
  </si>
  <si>
    <t>TF-1066</t>
  </si>
  <si>
    <t>Suzano SA</t>
  </si>
  <si>
    <t>TF-1067</t>
  </si>
  <si>
    <t>Tullow Ghana</t>
  </si>
  <si>
    <t>TF-1068</t>
  </si>
  <si>
    <t>Glass</t>
  </si>
  <si>
    <t>TF-1069</t>
  </si>
  <si>
    <t>SQM Trading</t>
  </si>
  <si>
    <t>TF-1070</t>
  </si>
  <si>
    <t>Hub Power Company</t>
  </si>
  <si>
    <t>Turbines</t>
  </si>
  <si>
    <t>TF-1071</t>
  </si>
  <si>
    <t>TF-1072</t>
  </si>
  <si>
    <t>TF-1073</t>
  </si>
  <si>
    <t>Shell Trading UK</t>
  </si>
  <si>
    <t>TF-1074</t>
  </si>
  <si>
    <t>Louis Dreyfus</t>
  </si>
  <si>
    <t>TF-1075</t>
  </si>
  <si>
    <t>Automotive</t>
  </si>
  <si>
    <t>Vehicles</t>
  </si>
  <si>
    <t>TF-1076</t>
  </si>
  <si>
    <t>East African Breweries</t>
  </si>
  <si>
    <t>TF-1077</t>
  </si>
  <si>
    <t>Grupo Bimbo</t>
  </si>
  <si>
    <t>TF-1078</t>
  </si>
  <si>
    <t>TF-1079</t>
  </si>
  <si>
    <t>Bank Alfalah Corp</t>
  </si>
  <si>
    <t>B</t>
  </si>
  <si>
    <t>Stage 3</t>
  </si>
  <si>
    <t>TF-1080</t>
  </si>
  <si>
    <t>Sibanye Stillwater</t>
  </si>
  <si>
    <t>FirstRand</t>
  </si>
  <si>
    <t>TRADE FINANCE PORTFOLIO QUALITY REPORT — EXECUTIVE SUMMARY</t>
  </si>
  <si>
    <t>Metric</t>
  </si>
  <si>
    <t>Current Month</t>
  </si>
  <si>
    <t>MoM Change</t>
  </si>
  <si>
    <t>MoM %</t>
  </si>
  <si>
    <t>Value</t>
  </si>
  <si>
    <t>Threshold</t>
  </si>
  <si>
    <t>RAG Status</t>
  </si>
  <si>
    <t>Stage 2 Ratio</t>
  </si>
  <si>
    <t>Total Outstanding (USD mm)</t>
  </si>
  <si>
    <t>Avg Collateral Coverage</t>
  </si>
  <si>
    <t>Total Provisions (USD mm)</t>
  </si>
  <si>
    <t>Watchlist Accounts</t>
  </si>
  <si>
    <t>Watchlist Exposure (USD mm)</t>
  </si>
  <si>
    <t>Avg Tenor (Days)</t>
  </si>
  <si>
    <t>Wtd Avg Risk Weight</t>
  </si>
  <si>
    <t>Stage 2+3 %</t>
  </si>
  <si>
    <t>Wtd Avg Rating</t>
  </si>
  <si>
    <t>Watchlist Count</t>
  </si>
  <si>
    <t>Avg Collateral Cov.</t>
  </si>
  <si>
    <t>TOTAL</t>
  </si>
  <si>
    <t>Action Required</t>
  </si>
  <si>
    <t>% of Portfolio</t>
  </si>
  <si>
    <t>Avg Rating</t>
  </si>
  <si>
    <t>PRODUCT MIX &amp; TENOR ANALYSIS</t>
  </si>
  <si>
    <t>Stage</t>
  </si>
  <si>
    <t>Provisions (USD mm)</t>
  </si>
  <si>
    <t>2. INTERNAL RATING DISTRIBUTION</t>
  </si>
  <si>
    <t>Rating</t>
  </si>
  <si>
    <t>Rank</t>
  </si>
  <si>
    <t>2. SECTOR CONCENTRATION</t>
  </si>
  <si>
    <t>Utilization %</t>
  </si>
  <si>
    <t>Facility Ref</t>
  </si>
  <si>
    <t>Obligor</t>
  </si>
  <si>
    <t>Product</t>
  </si>
  <si>
    <t>DPD</t>
  </si>
  <si>
    <t>Entity</t>
  </si>
  <si>
    <t>Samman Capital</t>
  </si>
  <si>
    <t>First Women Bank Ltd (FWBL)</t>
  </si>
  <si>
    <t>Mirabank</t>
  </si>
  <si>
    <t>Beltone</t>
  </si>
  <si>
    <t>Lulo Bank</t>
  </si>
  <si>
    <t>Group HQ: Abu Dhabi, UAE  |  Entities: Samman Capital, FWBL, Beltone, Mirabank, Lulo Bank  |  Report Date: Feb 2025  |  Currency: USD (mm)</t>
  </si>
  <si>
    <t>1. GROUP PORTFOLIO KPIs</t>
  </si>
  <si>
    <t>Prev Month</t>
  </si>
  <si>
    <t>Risk Metric</t>
  </si>
  <si>
    <t>RAG</t>
  </si>
  <si>
    <t>Total Facilities</t>
  </si>
  <si>
    <t>NPL Ratio (Stage 3/Total)</t>
  </si>
  <si>
    <t>Wtd Avg Rating (1=best, 10=worst)</t>
  </si>
  <si>
    <t>Avg Utilization Rate</t>
  </si>
  <si>
    <t>2. ENTITY-LEVEL SCORECARD (Subsidiary Performance)</t>
  </si>
  <si>
    <t>Geography</t>
  </si>
  <si>
    <t># Facilities</t>
  </si>
  <si>
    <t>% of Group</t>
  </si>
  <si>
    <t>MoM Chg %</t>
  </si>
  <si>
    <t>Watchlist #</t>
  </si>
  <si>
    <t>Entity RAG</t>
  </si>
  <si>
    <t>India / Cross-border</t>
  </si>
  <si>
    <t>Pakistan / Cross-border</t>
  </si>
  <si>
    <t>Egypt / Africa</t>
  </si>
  <si>
    <t>Serbia / Baltics / Europe</t>
  </si>
  <si>
    <t>Colombia (minimal TF)</t>
  </si>
  <si>
    <t>GROUP TOTAL</t>
  </si>
  <si>
    <t>COLLECTIONS, EFFICIENCY &amp; PERFORMANCE MONITORING</t>
  </si>
  <si>
    <t>1. COLLECTION EFFICIENCY BY ENTITY</t>
  </si>
  <si>
    <t>Overdue Ratio</t>
  </si>
  <si>
    <t>Recovery Rate (Stage 3)</t>
  </si>
  <si>
    <t>Rollover Rate</t>
  </si>
  <si>
    <t>Provision / Outstanding</t>
  </si>
  <si>
    <t>Efficiency RAG</t>
  </si>
  <si>
    <t>Current (DPD=0)</t>
  </si>
  <si>
    <t>1-30 DPD</t>
  </si>
  <si>
    <t>31-60 DPD</t>
  </si>
  <si>
    <t>61-90 DPD</t>
  </si>
  <si>
    <t>90+ DPD</t>
  </si>
  <si>
    <t>Total Outstanding</t>
  </si>
  <si>
    <t>Overdue %</t>
  </si>
  <si>
    <t>ENTITY PERFORMANCE — SUBSIDIARY DEEP DIVE</t>
  </si>
  <si>
    <t>Entity-level portfolio breakdown with product mix, staging, and limits per subsidiary</t>
  </si>
  <si>
    <t>1. ENTITY LIMIT UTILIZATION &amp; ALLOCATION</t>
  </si>
  <si>
    <t>Group Approved Limit (USD mm)</t>
  </si>
  <si>
    <t>Headroom (USD mm)</t>
  </si>
  <si>
    <t>Stage 1 (USD mm)</t>
  </si>
  <si>
    <t>Stage 2 (USD mm)</t>
  </si>
  <si>
    <t>Stage 3 (USD mm)</t>
  </si>
  <si>
    <t>Prov. Coverage</t>
  </si>
  <si>
    <t>Limit (USD mm)</t>
  </si>
  <si>
    <t>Avg Tenor</t>
  </si>
  <si>
    <t>Utilization</t>
  </si>
  <si>
    <t>EWS Score (1-5)</t>
  </si>
  <si>
    <t>EWS Triggers</t>
  </si>
  <si>
    <t>EARLY WARNING SIGNAL (EWS) DASHBOARD</t>
  </si>
  <si>
    <t>Three-layer risk monitoring: Facility-level signals → Entity-level patterns → Macro/External triggers</t>
  </si>
  <si>
    <t>1. EWS SCORE SUMMARY BY ENTITY</t>
  </si>
  <si>
    <t>Score 0 (No Alert)</t>
  </si>
  <si>
    <t>Score 1 (Watch)</t>
  </si>
  <si>
    <t>Score 2 (Elevated)</t>
  </si>
  <si>
    <t>Score 3 (High)</t>
  </si>
  <si>
    <t>Score 4-5 (Critical)</t>
  </si>
  <si>
    <t>Avg EWS Score</t>
  </si>
  <si>
    <t>Flagged Exposure (USD mm)</t>
  </si>
  <si>
    <t>Entity EWS RAG</t>
  </si>
  <si>
    <t>2. STAGE MIGRATION MATRIX (Current Month vs. Implied Prior Stage)</t>
  </si>
  <si>
    <t>Current Month Stage →</t>
  </si>
  <si>
    <t>Prior Stage ↓</t>
  </si>
  <si>
    <t>Total Prior</t>
  </si>
  <si>
    <t>Stage 1 (Performing)</t>
  </si>
  <si>
    <t>Stage 2 (Underperforming)</t>
  </si>
  <si>
    <t>Stage 3 (NPL)</t>
  </si>
  <si>
    <t>Total Current</t>
  </si>
  <si>
    <t>Key Migration Metrics</t>
  </si>
  <si>
    <t>Downgrade Rate (S1→S2)</t>
  </si>
  <si>
    <t>Default Rate (S1→S3)</t>
  </si>
  <si>
    <t>Cure Rate (S2→S1)</t>
  </si>
  <si>
    <t>Roll Rate (S2→S3)</t>
  </si>
  <si>
    <t>Net Stage Migration</t>
  </si>
  <si>
    <t>3. DPD ROLL RATE ANALYSIS — Probability of Moving to Worse DPD Bucket</t>
  </si>
  <si>
    <t>DPD Transition</t>
  </si>
  <si>
    <t># Facilities (Prior)</t>
  </si>
  <si>
    <t># Rolled Forward</t>
  </si>
  <si>
    <t># Stayed / Cured</t>
  </si>
  <si>
    <t>Roll Rate</t>
  </si>
  <si>
    <t>Exposure at Risk (USD mm)</t>
  </si>
  <si>
    <t>Current → 1-30 DPD</t>
  </si>
  <si>
    <t>1-30 DPD → 31-60 DPD</t>
  </si>
  <si>
    <t>31-60 DPD → 61-90 DPD</t>
  </si>
  <si>
    <t>61-90 DPD → 90+ DPD (NPL)</t>
  </si>
  <si>
    <t>Implied NPL Pipeline (next 3 months)</t>
  </si>
  <si>
    <t>MACRO &amp; EXTERNAL RISK MONITOR</t>
  </si>
  <si>
    <t>FX risk, sovereign/country risk, and regulatory risk monitoring per entity jurisdiction</t>
  </si>
  <si>
    <t>1. FX RISK MONITOR BY ENTITY CORRIDOR</t>
  </si>
  <si>
    <t>Primary Currency</t>
  </si>
  <si>
    <t>FX Rate (vs USD)</t>
  </si>
  <si>
    <t>30-Day Volatility</t>
  </si>
  <si>
    <t>90-Day Volatility</t>
  </si>
  <si>
    <t>YTD Depreciation</t>
  </si>
  <si>
    <t>Portfolio Exposure (USD mm)</t>
  </si>
  <si>
    <t>FX-Adjusted Impact (USD mm)</t>
  </si>
  <si>
    <t>Capital Controls?</t>
  </si>
  <si>
    <t>Transfer Risk</t>
  </si>
  <si>
    <t>FX RAG</t>
  </si>
  <si>
    <t>INR</t>
  </si>
  <si>
    <t>Low</t>
  </si>
  <si>
    <t>PKR</t>
  </si>
  <si>
    <t>Partial</t>
  </si>
  <si>
    <t>High</t>
  </si>
  <si>
    <t>EGP</t>
  </si>
  <si>
    <t>Very High</t>
  </si>
  <si>
    <t>RSD / EUR</t>
  </si>
  <si>
    <t>COP</t>
  </si>
  <si>
    <t>Medium</t>
  </si>
  <si>
    <t>GROUP FX IMPACT</t>
  </si>
  <si>
    <t>2. COUNTRY / SOVEREIGN RISK SCORECARD</t>
  </si>
  <si>
    <t>Entity / Jurisdiction</t>
  </si>
  <si>
    <t>Sovereign Rating (S&amp;P)</t>
  </si>
  <si>
    <t>Sovereign Outlook</t>
  </si>
  <si>
    <t>CDS Spread (bps)</t>
  </si>
  <si>
    <t>Political Stability Score</t>
  </si>
  <si>
    <t>Sanctions Exposure</t>
  </si>
  <si>
    <t>Recent Events / Flags</t>
  </si>
  <si>
    <t>Country Risk Score (1-10)</t>
  </si>
  <si>
    <t>Samman Capital — India</t>
  </si>
  <si>
    <t>BBB-</t>
  </si>
  <si>
    <t>Stable</t>
  </si>
  <si>
    <t>None</t>
  </si>
  <si>
    <t>RBI tightening cycle; stable macro outlook</t>
  </si>
  <si>
    <t>FWBL — Pakistan</t>
  </si>
  <si>
    <t>CCC+</t>
  </si>
  <si>
    <t>IMF programme ongoing; capital controls; high inflation</t>
  </si>
  <si>
    <t>Beltone — Egypt</t>
  </si>
  <si>
    <t>B-</t>
  </si>
  <si>
    <t>Positive</t>
  </si>
  <si>
    <t>FX liberalization ongoing; IMF deal; capital controls easing</t>
  </si>
  <si>
    <t>Mirabank — Serbia / Baltics</t>
  </si>
  <si>
    <t>Indirect (Russia-adj.)</t>
  </si>
  <si>
    <t>EU accession path; secondary sanctions risk from Russia trade corridor</t>
  </si>
  <si>
    <t>Lulo Bank — Colombia</t>
  </si>
  <si>
    <t>Fiscal consolidation; moderate political risk; pension reform</t>
  </si>
  <si>
    <t>Africa Corridor (via Beltone)</t>
  </si>
  <si>
    <t>B to BB-</t>
  </si>
  <si>
    <t>Mixed</t>
  </si>
  <si>
    <t>Selective</t>
  </si>
  <si>
    <t>Nigeria FX controls; Kenya debt distress; Ghana restructuring</t>
  </si>
  <si>
    <t>GROUP WEIGHTED AVG</t>
  </si>
  <si>
    <t>3. REGULATORY RISK TRACKER BY JURISDICTION</t>
  </si>
  <si>
    <t>Central Bank Regulator</t>
  </si>
  <si>
    <t>Policy Rate</t>
  </si>
  <si>
    <t>Rate Direction</t>
  </si>
  <si>
    <t>Basel Framework</t>
  </si>
  <si>
    <t>LCR/NSFR Compliance</t>
  </si>
  <si>
    <t>TF-Specific Regulations</t>
  </si>
  <si>
    <t>AML/CFT Regime</t>
  </si>
  <si>
    <t>Recent Regulatory Events</t>
  </si>
  <si>
    <t>Regulatory Risk RAG</t>
  </si>
  <si>
    <t>RBI</t>
  </si>
  <si>
    <t>Hold</t>
  </si>
  <si>
    <t>Basel III+</t>
  </si>
  <si>
    <t>Compliant</t>
  </si>
  <si>
    <t>FEMA; RBI TF Guidelines; LC margin rules</t>
  </si>
  <si>
    <t>Strong</t>
  </si>
  <si>
    <t>RBI tightened LC issuance norms; digital TF push</t>
  </si>
  <si>
    <t>🟢 Low</t>
  </si>
  <si>
    <t>SBP</t>
  </si>
  <si>
    <t>Cutting</t>
  </si>
  <si>
    <t>Basel III</t>
  </si>
  <si>
    <t>Under stress</t>
  </si>
  <si>
    <t>SBP LC limit caps; FX controls on imports</t>
  </si>
  <si>
    <t>FATF Grey List exit</t>
  </si>
  <si>
    <t>Import restrictions eased; SBP circular on TF limits</t>
  </si>
  <si>
    <t>🔴 High</t>
  </si>
  <si>
    <t>CBE</t>
  </si>
  <si>
    <t>Basel II+</t>
  </si>
  <si>
    <t>Constrained</t>
  </si>
  <si>
    <t>CBE FX allocation rules; LC opening restrictions</t>
  </si>
  <si>
    <t>Moderate</t>
  </si>
  <si>
    <t>FX unification; CBE eased LC restrictions partially</t>
  </si>
  <si>
    <t>NBS / ECB</t>
  </si>
  <si>
    <t>Basel III (EU aligned)</t>
  </si>
  <si>
    <t>EU harmonized; EBRD trade facilitation programme</t>
  </si>
  <si>
    <t>EU standard</t>
  </si>
  <si>
    <t>Serbia aligning with EU acquis; sanctions compliance</t>
  </si>
  <si>
    <t>BanRep</t>
  </si>
  <si>
    <t>SFC trade finance norms; FX hedging requirements</t>
  </si>
  <si>
    <t>FATF Compliant</t>
  </si>
  <si>
    <t>Rate cutting cycle; pension reform uncertainty</t>
  </si>
  <si>
    <t>🟡 Medium</t>
  </si>
  <si>
    <t>HQ Group — UAE (Consolidation)</t>
  </si>
  <si>
    <t>CBUAE</t>
  </si>
  <si>
    <t>Fed-linked</t>
  </si>
  <si>
    <t>CBUAE group-level TF reporting; AML/sanctions framework</t>
  </si>
  <si>
    <t>CBUAE enhanced group supervision; ESG disclosure</t>
  </si>
  <si>
    <t>4. COMPOSITE RISK HEAT MAP — ALL LAYERS COMBINED</t>
  </si>
  <si>
    <t>Portfolio EWS Score (Avg)</t>
  </si>
  <si>
    <t>FX Risk Score</t>
  </si>
  <si>
    <t>Country Risk Score</t>
  </si>
  <si>
    <t>Regulatory Risk Score</t>
  </si>
  <si>
    <t>Composite Score (1-10)</t>
  </si>
  <si>
    <t>Exposure (USD mm)</t>
  </si>
  <si>
    <t>Risk-Weighted Exposure</t>
  </si>
  <si>
    <t>Overall RAG</t>
  </si>
  <si>
    <t>GROUP COMPOSITE</t>
  </si>
  <si>
    <t>ASSET QUALITY &amp; IFRS 9 STAGING DASHBOARD</t>
  </si>
  <si>
    <t>IFRS 9 stage distribution, ECL coverage, and rating migration by entity</t>
  </si>
  <si>
    <t>1. IFRS 9 STAGING BY ENTITY</t>
  </si>
  <si>
    <t>Stage 1 (#)</t>
  </si>
  <si>
    <t>Stage 2 (#)</t>
  </si>
  <si>
    <t>Stage 3 (#)</t>
  </si>
  <si>
    <t>Provision Coverage %</t>
  </si>
  <si>
    <t>Rating Bucket</t>
  </si>
  <si>
    <t>Grade</t>
  </si>
  <si>
    <t>Avg Provision Rate</t>
  </si>
  <si>
    <t>1-2 (Minimal Risk)</t>
  </si>
  <si>
    <t>IG Prime</t>
  </si>
  <si>
    <t>3-4 (Low Risk)</t>
  </si>
  <si>
    <t>IG</t>
  </si>
  <si>
    <t>5-6 (Moderate Risk)</t>
  </si>
  <si>
    <t>Sub-IG</t>
  </si>
  <si>
    <t>7-8 (High Risk)</t>
  </si>
  <si>
    <t>Speculative</t>
  </si>
  <si>
    <t>9-10 (Very High / Default)</t>
  </si>
  <si>
    <t>Default</t>
  </si>
  <si>
    <t>CONCENTRATION &amp; EXPOSURE ANALYSIS</t>
  </si>
  <si>
    <t>Top obligor, sector, and geographic concentration risk monitoring</t>
  </si>
  <si>
    <t>Internal Rating</t>
  </si>
  <si>
    <t>Watchlist</t>
  </si>
  <si>
    <t>Multi-entity</t>
  </si>
  <si>
    <t>Top 10 Total</t>
  </si>
  <si>
    <t>Limit (25%)</t>
  </si>
  <si>
    <t>WATCHLIST &amp; PROBLEM ACCOUNT TRACKER</t>
  </si>
  <si>
    <t>Active watchlist accounts, problem exposures, and EWS-flagged facilities requiring action</t>
  </si>
  <si>
    <t>1. WATCHLIST SUMMARY BY ENTITY</t>
  </si>
  <si>
    <t>% of Entity Portfolio</t>
  </si>
  <si>
    <t>EWS Score ≥2 Count</t>
  </si>
  <si>
    <t>EWS Score ≥2 Exposure (USD mm)</t>
  </si>
  <si>
    <t>Stage 2+3 Count</t>
  </si>
  <si>
    <t>2. DETAILED WATCHLIST REGISTER — All Facilities with Watchlist Flag = "Yes" or EWS Score ≥ 2</t>
  </si>
  <si>
    <t>EWS Score</t>
  </si>
  <si>
    <t>FWBL</t>
  </si>
  <si>
    <t>Doc. Collection - D/P</t>
  </si>
  <si>
    <t>DPD&gt;90, Sub-IG Rating, NPL</t>
  </si>
  <si>
    <t>🔴 Immediate Write-down Review</t>
  </si>
  <si>
    <t>BG - Financial</t>
  </si>
  <si>
    <t>DPD&gt;0, Sub-IG, Low Coll, Stage 2</t>
  </si>
  <si>
    <t>🟡 CRO Escalation</t>
  </si>
  <si>
    <t>TL - Post-Import</t>
  </si>
  <si>
    <t>Sub-IG, Low Coll, Stage 2, High Util</t>
  </si>
  <si>
    <t>TL - Pre-Export</t>
  </si>
  <si>
    <t>DPD&gt;30, Sub-IG, Stage 2</t>
  </si>
  <si>
    <t>DPD&gt;0, Sub-IG, Stage 2</t>
  </si>
  <si>
    <t>Enhanced Monitoring</t>
  </si>
  <si>
    <t>DPD&gt;0, Stage 2, High Util</t>
  </si>
  <si>
    <t>Sub-IG, Low Coll, Stage 2</t>
  </si>
  <si>
    <t>Collection efficiency, overdue aging, maturity profile, and recovery metrics by entity</t>
  </si>
  <si>
    <t>Collection Efficiency Ratio</t>
  </si>
  <si>
    <t>Avg DPD (Overdue)</t>
  </si>
  <si>
    <t>2. PAST DUE AGING BY ENTITY (USD mm)</t>
  </si>
  <si>
    <t>1. TOP 20 OBLIGOR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</si>
</sst>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2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6"/>
      <color rgb="FFFFFFFF"/>
      <name val="Calibri"/>
      <family val="2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b/>
      <sz val="10"/>
      <color theme="1"/>
      <name val="Calibri"/>
      <family val="2"/>
    </font>
    <font>
      <b/>
      <sz val="14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0000FF"/>
      <name val="Calibri"/>
      <family val="2"/>
    </font>
    <font>
      <sz val="10"/>
      <color rgb="FF9C0006"/>
      <name val="Aptos Narrow"/>
      <family val="2"/>
      <scheme val="minor"/>
    </font>
    <font>
      <b/>
      <sz val="10"/>
      <color rgb="FF9C0006"/>
      <name val="Calibri"/>
      <family val="2"/>
    </font>
    <font>
      <sz val="10"/>
      <color rgb="FF006100"/>
      <name val="Calibri"/>
      <family val="2"/>
    </font>
    <font>
      <sz val="10"/>
      <color rgb="FF9C5700"/>
      <name val="Calibri"/>
      <family val="2"/>
    </font>
    <font>
      <sz val="10"/>
      <color rgb="FF9C0006"/>
      <name val="Calibri"/>
      <family val="2"/>
    </font>
    <font>
      <b/>
      <sz val="12"/>
      <color rgb="FF9C0006"/>
      <name val="Aptos Narrow"/>
      <family val="2"/>
      <scheme val="minor"/>
    </font>
    <font>
      <i/>
      <sz val="10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sz val="10"/>
      <color rgb="FF0000FF"/>
      <name val="Calibri"/>
      <family val="2"/>
    </font>
    <font>
      <b/>
      <sz val="9"/>
      <color rgb="FF9C0006"/>
      <name val="Aptos Narrow"/>
      <family val="2"/>
      <scheme val="minor"/>
    </font>
    <font>
      <b/>
      <sz val="12"/>
      <color rgb="FFC65911"/>
      <name val="Aptos Narrow"/>
      <family val="2"/>
      <scheme val="minor"/>
    </font>
    <font>
      <b/>
      <sz val="9"/>
      <color rgb="FF9C57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6100"/>
        <bgColor indexed="64"/>
      </patternFill>
    </fill>
    <fill>
      <patternFill patternType="solid">
        <fgColor rgb="FF9C57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548235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rgb="FFD9D9D9"/>
      </bottom>
      <diagonal/>
    </border>
    <border>
      <left style="thin">
        <color auto="1"/>
      </left>
      <right/>
      <top/>
      <bottom style="thin">
        <color rgb="FFD9D9D9"/>
      </bottom>
      <diagonal/>
    </border>
    <border>
      <left/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 style="thin">
        <color rgb="FFD9D9D9"/>
      </top>
      <bottom/>
      <diagonal/>
    </border>
    <border>
      <left style="thin">
        <color auto="1"/>
      </left>
      <right style="thin">
        <color auto="1"/>
      </right>
      <top style="thin">
        <color rgb="FFD9D9D9"/>
      </top>
      <bottom/>
      <diagonal/>
    </border>
    <border>
      <left style="thin">
        <color auto="1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25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3" fillId="3" borderId="17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4" fontId="3" fillId="3" borderId="11" xfId="0" applyNumberFormat="1" applyFont="1" applyFill="1" applyBorder="1"/>
    <xf numFmtId="10" fontId="3" fillId="3" borderId="11" xfId="0" applyNumberFormat="1" applyFont="1" applyFill="1" applyBorder="1"/>
    <xf numFmtId="0" fontId="3" fillId="3" borderId="20" xfId="0" applyFont="1" applyFill="1" applyBorder="1"/>
    <xf numFmtId="0" fontId="3" fillId="0" borderId="17" xfId="0" applyFont="1" applyBorder="1"/>
    <xf numFmtId="0" fontId="3" fillId="0" borderId="11" xfId="0" applyFont="1" applyBorder="1"/>
    <xf numFmtId="4" fontId="3" fillId="0" borderId="11" xfId="0" applyNumberFormat="1" applyFont="1" applyBorder="1"/>
    <xf numFmtId="14" fontId="3" fillId="0" borderId="11" xfId="0" applyNumberFormat="1" applyFont="1" applyBorder="1"/>
    <xf numFmtId="10" fontId="3" fillId="0" borderId="11" xfId="0" applyNumberFormat="1" applyFont="1" applyBorder="1"/>
    <xf numFmtId="0" fontId="3" fillId="0" borderId="20" xfId="0" applyFont="1" applyBorder="1"/>
    <xf numFmtId="0" fontId="3" fillId="0" borderId="18" xfId="0" applyFont="1" applyBorder="1"/>
    <xf numFmtId="0" fontId="3" fillId="0" borderId="15" xfId="0" applyFont="1" applyBorder="1"/>
    <xf numFmtId="4" fontId="3" fillId="0" borderId="15" xfId="0" applyNumberFormat="1" applyFont="1" applyBorder="1"/>
    <xf numFmtId="14" fontId="3" fillId="0" borderId="15" xfId="0" applyNumberFormat="1" applyFont="1" applyBorder="1"/>
    <xf numFmtId="10" fontId="3" fillId="0" borderId="15" xfId="0" applyNumberFormat="1" applyFont="1" applyBorder="1"/>
    <xf numFmtId="0" fontId="3" fillId="0" borderId="21" xfId="0" applyFont="1" applyBorder="1"/>
    <xf numFmtId="0" fontId="4" fillId="2" borderId="0" xfId="0" applyFont="1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64" fontId="8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7" fillId="5" borderId="0" xfId="0" applyFont="1" applyFill="1"/>
    <xf numFmtId="0" fontId="1" fillId="5" borderId="0" xfId="0" applyFont="1" applyFill="1" applyAlignment="1">
      <alignment horizontal="center"/>
    </xf>
    <xf numFmtId="3" fontId="1" fillId="5" borderId="0" xfId="0" applyNumberFormat="1" applyFont="1" applyFill="1" applyAlignment="1">
      <alignment horizontal="center"/>
    </xf>
    <xf numFmtId="4" fontId="1" fillId="5" borderId="0" xfId="0" applyNumberFormat="1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3" fillId="0" borderId="0" xfId="0" applyFont="1"/>
    <xf numFmtId="0" fontId="3" fillId="5" borderId="0" xfId="0" applyFont="1" applyFill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3" fillId="0" borderId="8" xfId="0" applyFont="1" applyBorder="1"/>
    <xf numFmtId="164" fontId="3" fillId="0" borderId="8" xfId="0" applyNumberFormat="1" applyFont="1" applyBorder="1" applyAlignment="1">
      <alignment horizontal="center"/>
    </xf>
    <xf numFmtId="3" fontId="13" fillId="0" borderId="8" xfId="0" applyNumberFormat="1" applyFont="1" applyBorder="1" applyAlignment="1">
      <alignment horizontal="center"/>
    </xf>
    <xf numFmtId="0" fontId="10" fillId="5" borderId="0" xfId="0" applyFont="1" applyFill="1"/>
    <xf numFmtId="0" fontId="10" fillId="5" borderId="0" xfId="0" applyFont="1" applyFill="1" applyAlignment="1">
      <alignment horizontal="center"/>
    </xf>
    <xf numFmtId="165" fontId="10" fillId="5" borderId="0" xfId="0" applyNumberFormat="1" applyFont="1" applyFill="1" applyAlignment="1">
      <alignment horizontal="center"/>
    </xf>
    <xf numFmtId="0" fontId="10" fillId="0" borderId="4" xfId="0" applyFont="1" applyBorder="1"/>
    <xf numFmtId="3" fontId="3" fillId="0" borderId="5" xfId="0" applyNumberFormat="1" applyFont="1" applyBorder="1" applyAlignment="1">
      <alignment horizontal="center"/>
    </xf>
    <xf numFmtId="0" fontId="10" fillId="5" borderId="7" xfId="0" applyFont="1" applyFill="1" applyBorder="1"/>
    <xf numFmtId="0" fontId="10" fillId="5" borderId="8" xfId="0" applyFont="1" applyFill="1" applyBorder="1" applyAlignment="1">
      <alignment horizontal="center"/>
    </xf>
    <xf numFmtId="4" fontId="10" fillId="5" borderId="8" xfId="0" applyNumberFormat="1" applyFont="1" applyFill="1" applyBorder="1" applyAlignment="1">
      <alignment horizontal="center"/>
    </xf>
    <xf numFmtId="164" fontId="10" fillId="5" borderId="8" xfId="0" applyNumberFormat="1" applyFont="1" applyFill="1" applyBorder="1" applyAlignment="1">
      <alignment horizontal="center"/>
    </xf>
    <xf numFmtId="165" fontId="10" fillId="5" borderId="8" xfId="0" applyNumberFormat="1" applyFont="1" applyFill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0" fontId="3" fillId="5" borderId="8" xfId="0" applyFont="1" applyFill="1" applyBorder="1"/>
    <xf numFmtId="0" fontId="3" fillId="5" borderId="9" xfId="0" applyFont="1" applyFill="1" applyBorder="1"/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3" fillId="0" borderId="26" xfId="0" applyFont="1" applyBorder="1"/>
    <xf numFmtId="0" fontId="3" fillId="0" borderId="26" xfId="0" applyFont="1" applyBorder="1" applyAlignment="1">
      <alignment horizontal="center"/>
    </xf>
    <xf numFmtId="4" fontId="3" fillId="0" borderId="26" xfId="0" applyNumberFormat="1" applyFont="1" applyBorder="1" applyAlignment="1">
      <alignment horizontal="center"/>
    </xf>
    <xf numFmtId="164" fontId="3" fillId="0" borderId="26" xfId="0" applyNumberFormat="1" applyFont="1" applyBorder="1" applyAlignment="1">
      <alignment horizontal="center"/>
    </xf>
    <xf numFmtId="0" fontId="10" fillId="5" borderId="28" xfId="0" applyFont="1" applyFill="1" applyBorder="1"/>
    <xf numFmtId="0" fontId="3" fillId="5" borderId="29" xfId="0" applyFont="1" applyFill="1" applyBorder="1"/>
    <xf numFmtId="0" fontId="10" fillId="5" borderId="29" xfId="0" applyFont="1" applyFill="1" applyBorder="1" applyAlignment="1">
      <alignment horizontal="center"/>
    </xf>
    <xf numFmtId="4" fontId="10" fillId="5" borderId="29" xfId="0" applyNumberFormat="1" applyFont="1" applyFill="1" applyBorder="1" applyAlignment="1">
      <alignment horizontal="center"/>
    </xf>
    <xf numFmtId="164" fontId="10" fillId="5" borderId="29" xfId="0" applyNumberFormat="1" applyFont="1" applyFill="1" applyBorder="1" applyAlignment="1">
      <alignment horizontal="center"/>
    </xf>
    <xf numFmtId="0" fontId="3" fillId="5" borderId="30" xfId="0" applyFont="1" applyFill="1" applyBorder="1"/>
    <xf numFmtId="0" fontId="10" fillId="0" borderId="25" xfId="0" applyFont="1" applyBorder="1"/>
    <xf numFmtId="164" fontId="13" fillId="0" borderId="26" xfId="0" applyNumberFormat="1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/>
    <xf numFmtId="0" fontId="3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3" fontId="13" fillId="0" borderId="26" xfId="0" applyNumberFormat="1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3" fontId="10" fillId="5" borderId="29" xfId="0" applyNumberFormat="1" applyFont="1" applyFill="1" applyBorder="1" applyAlignment="1">
      <alignment horizontal="center"/>
    </xf>
    <xf numFmtId="0" fontId="10" fillId="8" borderId="25" xfId="0" applyFont="1" applyFill="1" applyBorder="1"/>
    <xf numFmtId="0" fontId="15" fillId="8" borderId="26" xfId="0" applyFont="1" applyFill="1" applyBorder="1" applyAlignment="1">
      <alignment horizontal="center"/>
    </xf>
    <xf numFmtId="0" fontId="10" fillId="7" borderId="25" xfId="0" applyFont="1" applyFill="1" applyBorder="1"/>
    <xf numFmtId="0" fontId="3" fillId="7" borderId="26" xfId="0" applyFont="1" applyFill="1" applyBorder="1" applyAlignment="1">
      <alignment horizontal="center"/>
    </xf>
    <xf numFmtId="0" fontId="3" fillId="7" borderId="29" xfId="0" applyFont="1" applyFill="1" applyBorder="1" applyAlignment="1">
      <alignment horizontal="center"/>
    </xf>
    <xf numFmtId="0" fontId="3" fillId="3" borderId="10" xfId="0" applyFont="1" applyFill="1" applyBorder="1"/>
    <xf numFmtId="0" fontId="3" fillId="0" borderId="10" xfId="0" applyFont="1" applyBorder="1"/>
    <xf numFmtId="0" fontId="3" fillId="0" borderId="14" xfId="0" applyFont="1" applyBorder="1"/>
    <xf numFmtId="0" fontId="9" fillId="5" borderId="0" xfId="0" applyFont="1" applyFill="1"/>
    <xf numFmtId="0" fontId="2" fillId="4" borderId="0" xfId="0" applyFont="1" applyFill="1"/>
    <xf numFmtId="0" fontId="12" fillId="5" borderId="0" xfId="0" applyFont="1" applyFill="1"/>
    <xf numFmtId="0" fontId="3" fillId="0" borderId="2" xfId="0" applyFont="1" applyBorder="1"/>
    <xf numFmtId="0" fontId="3" fillId="0" borderId="3" xfId="0" applyFont="1" applyBorder="1"/>
    <xf numFmtId="0" fontId="10" fillId="0" borderId="5" xfId="0" applyFont="1" applyBorder="1"/>
    <xf numFmtId="10" fontId="13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6" xfId="0" applyFont="1" applyBorder="1"/>
    <xf numFmtId="165" fontId="13" fillId="0" borderId="5" xfId="0" applyNumberFormat="1" applyFont="1" applyBorder="1" applyAlignment="1">
      <alignment horizontal="center"/>
    </xf>
    <xf numFmtId="4" fontId="13" fillId="0" borderId="5" xfId="0" applyNumberFormat="1" applyFont="1" applyBorder="1" applyAlignment="1">
      <alignment horizontal="center"/>
    </xf>
    <xf numFmtId="164" fontId="13" fillId="0" borderId="5" xfId="0" applyNumberFormat="1" applyFont="1" applyBorder="1" applyAlignment="1">
      <alignment horizontal="center"/>
    </xf>
    <xf numFmtId="0" fontId="10" fillId="0" borderId="7" xfId="0" applyFont="1" applyBorder="1"/>
    <xf numFmtId="3" fontId="3" fillId="0" borderId="8" xfId="0" applyNumberFormat="1" applyFont="1" applyBorder="1" applyAlignment="1">
      <alignment horizontal="center"/>
    </xf>
    <xf numFmtId="0" fontId="10" fillId="0" borderId="8" xfId="0" applyFont="1" applyBorder="1"/>
    <xf numFmtId="164" fontId="13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3" fillId="0" borderId="9" xfId="0" applyFont="1" applyBorder="1"/>
    <xf numFmtId="0" fontId="20" fillId="4" borderId="0" xfId="0" applyFont="1" applyFill="1"/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11" fillId="2" borderId="0" xfId="0" applyFont="1" applyFill="1"/>
    <xf numFmtId="0" fontId="20" fillId="4" borderId="0" xfId="0" applyFont="1" applyFill="1"/>
    <xf numFmtId="10" fontId="3" fillId="0" borderId="26" xfId="0" applyNumberFormat="1" applyFont="1" applyBorder="1" applyAlignment="1">
      <alignment horizontal="center"/>
    </xf>
    <xf numFmtId="10" fontId="10" fillId="5" borderId="29" xfId="0" applyNumberFormat="1" applyFont="1" applyFill="1" applyBorder="1" applyAlignment="1">
      <alignment horizontal="center"/>
    </xf>
    <xf numFmtId="0" fontId="10" fillId="5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4" fillId="2" borderId="0" xfId="0" applyFont="1" applyFill="1"/>
    <xf numFmtId="0" fontId="2" fillId="9" borderId="23" xfId="0" applyFont="1" applyFill="1" applyBorder="1" applyAlignment="1">
      <alignment horizontal="center"/>
    </xf>
    <xf numFmtId="0" fontId="2" fillId="13" borderId="23" xfId="0" applyFont="1" applyFill="1" applyBorder="1" applyAlignment="1">
      <alignment horizontal="center"/>
    </xf>
    <xf numFmtId="0" fontId="2" fillId="10" borderId="23" xfId="0" applyFont="1" applyFill="1" applyBorder="1" applyAlignment="1">
      <alignment horizontal="center"/>
    </xf>
    <xf numFmtId="0" fontId="2" fillId="11" borderId="23" xfId="0" applyFont="1" applyFill="1" applyBorder="1" applyAlignment="1">
      <alignment horizontal="center"/>
    </xf>
    <xf numFmtId="0" fontId="2" fillId="12" borderId="23" xfId="0" applyFont="1" applyFill="1" applyBorder="1" applyAlignment="1">
      <alignment horizontal="center"/>
    </xf>
    <xf numFmtId="165" fontId="3" fillId="0" borderId="26" xfId="0" applyNumberFormat="1" applyFont="1" applyBorder="1" applyAlignment="1">
      <alignment horizontal="center"/>
    </xf>
    <xf numFmtId="165" fontId="10" fillId="5" borderId="29" xfId="0" applyNumberFormat="1" applyFont="1" applyFill="1" applyBorder="1" applyAlignment="1">
      <alignment horizontal="center"/>
    </xf>
    <xf numFmtId="0" fontId="3" fillId="2" borderId="22" xfId="0" applyFont="1" applyFill="1" applyBorder="1"/>
    <xf numFmtId="0" fontId="3" fillId="2" borderId="23" xfId="0" applyFont="1" applyFill="1" applyBorder="1"/>
    <xf numFmtId="0" fontId="3" fillId="2" borderId="24" xfId="0" applyFont="1" applyFill="1" applyBorder="1"/>
    <xf numFmtId="0" fontId="2" fillId="2" borderId="25" xfId="0" applyFont="1" applyFill="1" applyBorder="1" applyAlignment="1">
      <alignment horizontal="center"/>
    </xf>
    <xf numFmtId="0" fontId="3" fillId="2" borderId="26" xfId="0" applyFont="1" applyFill="1" applyBorder="1"/>
    <xf numFmtId="0" fontId="2" fillId="9" borderId="26" xfId="0" applyFont="1" applyFill="1" applyBorder="1" applyAlignment="1">
      <alignment horizontal="center"/>
    </xf>
    <xf numFmtId="0" fontId="2" fillId="10" borderId="26" xfId="0" applyFont="1" applyFill="1" applyBorder="1" applyAlignment="1">
      <alignment horizontal="center"/>
    </xf>
    <xf numFmtId="0" fontId="2" fillId="1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10" fillId="6" borderId="25" xfId="0" applyFont="1" applyFill="1" applyBorder="1"/>
    <xf numFmtId="0" fontId="22" fillId="0" borderId="26" xfId="0" applyFont="1" applyBorder="1"/>
    <xf numFmtId="0" fontId="13" fillId="0" borderId="26" xfId="0" applyFont="1" applyBorder="1" applyAlignment="1">
      <alignment horizontal="center"/>
    </xf>
    <xf numFmtId="3" fontId="3" fillId="0" borderId="29" xfId="0" applyNumberFormat="1" applyFont="1" applyBorder="1" applyAlignment="1">
      <alignment horizontal="center"/>
    </xf>
    <xf numFmtId="166" fontId="13" fillId="0" borderId="26" xfId="0" applyNumberFormat="1" applyFont="1" applyBorder="1" applyAlignment="1">
      <alignment horizontal="center"/>
    </xf>
    <xf numFmtId="4" fontId="13" fillId="0" borderId="26" xfId="0" applyNumberFormat="1" applyFont="1" applyBorder="1" applyAlignment="1">
      <alignment horizontal="center"/>
    </xf>
    <xf numFmtId="0" fontId="3" fillId="5" borderId="25" xfId="0" applyFont="1" applyFill="1" applyBorder="1"/>
    <xf numFmtId="0" fontId="3" fillId="5" borderId="26" xfId="0" applyFont="1" applyFill="1" applyBorder="1"/>
    <xf numFmtId="0" fontId="3" fillId="5" borderId="27" xfId="0" applyFont="1" applyFill="1" applyBorder="1"/>
    <xf numFmtId="0" fontId="15" fillId="8" borderId="28" xfId="0" applyFont="1" applyFill="1" applyBorder="1"/>
    <xf numFmtId="0" fontId="3" fillId="8" borderId="29" xfId="0" applyFont="1" applyFill="1" applyBorder="1"/>
    <xf numFmtId="10" fontId="15" fillId="8" borderId="29" xfId="0" applyNumberFormat="1" applyFont="1" applyFill="1" applyBorder="1" applyAlignment="1">
      <alignment horizontal="center"/>
    </xf>
    <xf numFmtId="4" fontId="15" fillId="8" borderId="29" xfId="0" applyNumberFormat="1" applyFont="1" applyFill="1" applyBorder="1" applyAlignment="1">
      <alignment horizontal="center"/>
    </xf>
    <xf numFmtId="0" fontId="3" fillId="8" borderId="30" xfId="0" applyFont="1" applyFill="1" applyBorder="1"/>
    <xf numFmtId="1" fontId="1" fillId="5" borderId="0" xfId="0" applyNumberFormat="1" applyFont="1" applyFill="1" applyAlignment="1">
      <alignment horizontal="center"/>
    </xf>
    <xf numFmtId="2" fontId="13" fillId="0" borderId="26" xfId="0" applyNumberFormat="1" applyFont="1" applyBorder="1" applyAlignment="1">
      <alignment horizontal="center"/>
    </xf>
    <xf numFmtId="0" fontId="16" fillId="6" borderId="26" xfId="0" applyFont="1" applyFill="1" applyBorder="1" applyAlignment="1">
      <alignment horizontal="center"/>
    </xf>
    <xf numFmtId="0" fontId="17" fillId="7" borderId="26" xfId="0" applyFont="1" applyFill="1" applyBorder="1" applyAlignment="1">
      <alignment horizontal="center"/>
    </xf>
    <xf numFmtId="0" fontId="18" fillId="8" borderId="26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3" fillId="6" borderId="26" xfId="0" applyFont="1" applyFill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3" fillId="0" borderId="28" xfId="0" applyFont="1" applyBorder="1"/>
    <xf numFmtId="0" fontId="13" fillId="0" borderId="29" xfId="0" applyFont="1" applyBorder="1" applyAlignment="1">
      <alignment horizontal="center"/>
    </xf>
    <xf numFmtId="0" fontId="17" fillId="7" borderId="29" xfId="0" applyFont="1" applyFill="1" applyBorder="1" applyAlignment="1">
      <alignment horizontal="center"/>
    </xf>
    <xf numFmtId="0" fontId="3" fillId="0" borderId="29" xfId="0" applyFont="1" applyBorder="1"/>
    <xf numFmtId="0" fontId="24" fillId="0" borderId="29" xfId="0" applyFont="1" applyBorder="1" applyAlignment="1">
      <alignment horizontal="center"/>
    </xf>
    <xf numFmtId="10" fontId="13" fillId="0" borderId="26" xfId="0" applyNumberFormat="1" applyFont="1" applyBorder="1" applyAlignment="1">
      <alignment horizontal="center"/>
    </xf>
    <xf numFmtId="10" fontId="13" fillId="0" borderId="29" xfId="0" applyNumberFormat="1" applyFont="1" applyBorder="1" applyAlignment="1">
      <alignment horizontal="center"/>
    </xf>
    <xf numFmtId="0" fontId="3" fillId="6" borderId="29" xfId="0" applyFont="1" applyFill="1" applyBorder="1" applyAlignment="1">
      <alignment horizontal="center"/>
    </xf>
    <xf numFmtId="1" fontId="3" fillId="0" borderId="26" xfId="0" applyNumberFormat="1" applyFont="1" applyBorder="1" applyAlignment="1">
      <alignment horizontal="center"/>
    </xf>
    <xf numFmtId="165" fontId="10" fillId="0" borderId="26" xfId="0" applyNumberFormat="1" applyFont="1" applyBorder="1" applyAlignment="1">
      <alignment horizontal="center"/>
    </xf>
    <xf numFmtId="0" fontId="3" fillId="5" borderId="29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9" borderId="23" xfId="0" applyFont="1" applyFill="1" applyBorder="1" applyAlignment="1">
      <alignment horizontal="center"/>
    </xf>
    <xf numFmtId="0" fontId="5" fillId="10" borderId="23" xfId="0" applyFont="1" applyFill="1" applyBorder="1" applyAlignment="1">
      <alignment horizontal="center"/>
    </xf>
    <xf numFmtId="0" fontId="5" fillId="12" borderId="23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7" fillId="0" borderId="25" xfId="0" applyFont="1" applyBorder="1"/>
    <xf numFmtId="0" fontId="0" fillId="0" borderId="26" xfId="0" applyBorder="1" applyAlignment="1">
      <alignment horizontal="center"/>
    </xf>
    <xf numFmtId="4" fontId="0" fillId="0" borderId="26" xfId="0" applyNumberFormat="1" applyBorder="1" applyAlignment="1">
      <alignment horizontal="center"/>
    </xf>
    <xf numFmtId="164" fontId="1" fillId="0" borderId="26" xfId="0" applyNumberFormat="1" applyFon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7" fillId="5" borderId="28" xfId="0" applyFont="1" applyFill="1" applyBorder="1"/>
    <xf numFmtId="0" fontId="1" fillId="5" borderId="29" xfId="0" applyFont="1" applyFill="1" applyBorder="1" applyAlignment="1">
      <alignment horizontal="center"/>
    </xf>
    <xf numFmtId="4" fontId="1" fillId="5" borderId="29" xfId="0" applyNumberFormat="1" applyFont="1" applyFill="1" applyBorder="1" applyAlignment="1">
      <alignment horizontal="center"/>
    </xf>
    <xf numFmtId="164" fontId="1" fillId="5" borderId="29" xfId="0" applyNumberFormat="1" applyFont="1" applyFill="1" applyBorder="1" applyAlignment="1">
      <alignment horizontal="center"/>
    </xf>
    <xf numFmtId="0" fontId="0" fillId="5" borderId="30" xfId="0" applyFill="1" applyBorder="1"/>
    <xf numFmtId="0" fontId="6" fillId="6" borderId="25" xfId="0" applyFont="1" applyFill="1" applyBorder="1"/>
    <xf numFmtId="164" fontId="0" fillId="0" borderId="27" xfId="0" applyNumberFormat="1" applyBorder="1" applyAlignment="1">
      <alignment horizontal="center"/>
    </xf>
    <xf numFmtId="0" fontId="6" fillId="7" borderId="25" xfId="0" applyFont="1" applyFill="1" applyBorder="1"/>
    <xf numFmtId="0" fontId="6" fillId="8" borderId="25" xfId="0" applyFont="1" applyFill="1" applyBorder="1"/>
    <xf numFmtId="0" fontId="14" fillId="8" borderId="25" xfId="0" applyFont="1" applyFill="1" applyBorder="1"/>
    <xf numFmtId="0" fontId="0" fillId="5" borderId="29" xfId="0" applyFill="1" applyBorder="1"/>
    <xf numFmtId="164" fontId="1" fillId="5" borderId="30" xfId="0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6" xfId="0" applyFont="1" applyBorder="1"/>
    <xf numFmtId="0" fontId="21" fillId="0" borderId="26" xfId="0" applyFont="1" applyBorder="1"/>
    <xf numFmtId="165" fontId="0" fillId="0" borderId="26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6" fillId="0" borderId="25" xfId="0" applyFont="1" applyBorder="1"/>
    <xf numFmtId="0" fontId="19" fillId="8" borderId="25" xfId="0" applyFont="1" applyFill="1" applyBorder="1"/>
    <xf numFmtId="0" fontId="0" fillId="8" borderId="26" xfId="0" applyFill="1" applyBorder="1"/>
    <xf numFmtId="0" fontId="1" fillId="8" borderId="26" xfId="0" applyFont="1" applyFill="1" applyBorder="1"/>
    <xf numFmtId="0" fontId="21" fillId="8" borderId="26" xfId="0" applyFont="1" applyFill="1" applyBorder="1"/>
    <xf numFmtId="4" fontId="0" fillId="8" borderId="26" xfId="0" applyNumberFormat="1" applyFill="1" applyBorder="1" applyAlignment="1">
      <alignment horizontal="center"/>
    </xf>
    <xf numFmtId="0" fontId="19" fillId="8" borderId="26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25" fillId="8" borderId="27" xfId="0" applyFont="1" applyFill="1" applyBorder="1"/>
    <xf numFmtId="0" fontId="0" fillId="7" borderId="25" xfId="0" applyFill="1" applyBorder="1"/>
    <xf numFmtId="0" fontId="0" fillId="7" borderId="26" xfId="0" applyFill="1" applyBorder="1"/>
    <xf numFmtId="0" fontId="1" fillId="7" borderId="26" xfId="0" applyFont="1" applyFill="1" applyBorder="1"/>
    <xf numFmtId="0" fontId="21" fillId="7" borderId="26" xfId="0" applyFont="1" applyFill="1" applyBorder="1"/>
    <xf numFmtId="4" fontId="0" fillId="7" borderId="26" xfId="0" applyNumberFormat="1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1" fillId="7" borderId="26" xfId="0" applyFont="1" applyFill="1" applyBorder="1" applyAlignment="1">
      <alignment horizontal="center"/>
    </xf>
    <xf numFmtId="0" fontId="26" fillId="7" borderId="26" xfId="0" applyFont="1" applyFill="1" applyBorder="1" applyAlignment="1">
      <alignment horizontal="center"/>
    </xf>
    <xf numFmtId="0" fontId="27" fillId="7" borderId="27" xfId="0" applyFont="1" applyFill="1" applyBorder="1"/>
    <xf numFmtId="0" fontId="0" fillId="7" borderId="28" xfId="0" applyFill="1" applyBorder="1"/>
    <xf numFmtId="0" fontId="0" fillId="7" borderId="29" xfId="0" applyFill="1" applyBorder="1"/>
    <xf numFmtId="0" fontId="1" fillId="7" borderId="29" xfId="0" applyFont="1" applyFill="1" applyBorder="1"/>
    <xf numFmtId="0" fontId="21" fillId="7" borderId="29" xfId="0" applyFont="1" applyFill="1" applyBorder="1"/>
    <xf numFmtId="4" fontId="0" fillId="7" borderId="29" xfId="0" applyNumberFormat="1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0" fontId="26" fillId="7" borderId="29" xfId="0" applyFont="1" applyFill="1" applyBorder="1" applyAlignment="1">
      <alignment horizontal="center"/>
    </xf>
    <xf numFmtId="0" fontId="27" fillId="7" borderId="30" xfId="0" applyFont="1" applyFill="1" applyBorder="1"/>
    <xf numFmtId="2" fontId="13" fillId="0" borderId="29" xfId="0" applyNumberFormat="1" applyFont="1" applyBorder="1" applyAlignment="1">
      <alignment horizontal="center"/>
    </xf>
    <xf numFmtId="0" fontId="3" fillId="5" borderId="0" xfId="0" applyFont="1" applyFill="1" applyAlignment="1">
      <alignment horizontal="left"/>
    </xf>
    <xf numFmtId="0" fontId="2" fillId="2" borderId="23" xfId="0" applyFont="1" applyFill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17" fillId="7" borderId="26" xfId="0" applyFont="1" applyFill="1" applyBorder="1" applyAlignment="1">
      <alignment horizontal="left"/>
    </xf>
    <xf numFmtId="0" fontId="18" fillId="8" borderId="26" xfId="0" applyFont="1" applyFill="1" applyBorder="1" applyAlignment="1">
      <alignment horizontal="left"/>
    </xf>
    <xf numFmtId="0" fontId="3" fillId="5" borderId="29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9" xfId="0" applyFont="1" applyBorder="1" applyAlignment="1">
      <alignment horizontal="left"/>
    </xf>
    <xf numFmtId="0" fontId="3" fillId="6" borderId="26" xfId="0" applyFont="1" applyFill="1" applyBorder="1" applyAlignment="1">
      <alignment horizontal="left"/>
    </xf>
    <xf numFmtId="0" fontId="3" fillId="6" borderId="29" xfId="0" applyFont="1" applyFill="1" applyBorder="1" applyAlignment="1">
      <alignment horizontal="left"/>
    </xf>
    <xf numFmtId="4" fontId="3" fillId="0" borderId="26" xfId="0" applyNumberFormat="1" applyFont="1" applyBorder="1" applyAlignment="1">
      <alignment horizontal="left"/>
    </xf>
    <xf numFmtId="4" fontId="10" fillId="5" borderId="29" xfId="0" applyNumberFormat="1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D8553D-0CC6-5C4C-AAA9-5D939E0C9126}">
  <we:reference id="wa200009404" version="1.0.0.8" store="en-GB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BA1C-2010-6348-854E-0D061ABD7841}">
  <dimension ref="A1:L20"/>
  <sheetViews>
    <sheetView zoomScale="160" zoomScaleNormal="160" workbookViewId="0">
      <selection activeCell="F15" sqref="F15"/>
    </sheetView>
  </sheetViews>
  <sheetFormatPr baseColWidth="10" defaultRowHeight="16" x14ac:dyDescent="0.2"/>
  <cols>
    <col min="1" max="1" width="33.33203125" customWidth="1"/>
    <col min="2" max="5" width="16.6640625" customWidth="1"/>
    <col min="6" max="6" width="20" customWidth="1"/>
    <col min="7" max="7" width="21.6640625" customWidth="1"/>
    <col min="8" max="8" width="28.33203125" customWidth="1"/>
    <col min="9" max="11" width="16.6640625" customWidth="1"/>
  </cols>
  <sheetData>
    <row r="1" spans="1:12" ht="35" customHeight="1" x14ac:dyDescent="0.25">
      <c r="A1" s="46" t="s">
        <v>293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2" customHeight="1" x14ac:dyDescent="0.2">
      <c r="A2" s="104" t="s">
        <v>335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4" spans="1:12" x14ac:dyDescent="0.2">
      <c r="A4" s="105" t="s">
        <v>336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x14ac:dyDescent="0.2">
      <c r="A5" s="1" t="s">
        <v>294</v>
      </c>
      <c r="B5" s="2" t="s">
        <v>295</v>
      </c>
      <c r="C5" s="2" t="s">
        <v>337</v>
      </c>
      <c r="D5" s="2" t="s">
        <v>296</v>
      </c>
      <c r="E5" s="2" t="s">
        <v>297</v>
      </c>
      <c r="F5" s="106"/>
      <c r="G5" s="106"/>
      <c r="H5" s="2" t="s">
        <v>338</v>
      </c>
      <c r="I5" s="2" t="s">
        <v>298</v>
      </c>
      <c r="J5" s="2" t="s">
        <v>299</v>
      </c>
      <c r="K5" s="2" t="s">
        <v>339</v>
      </c>
      <c r="L5" s="107"/>
    </row>
    <row r="6" spans="1:12" x14ac:dyDescent="0.2">
      <c r="A6" s="62" t="s">
        <v>340</v>
      </c>
      <c r="B6" s="63">
        <f>COUNTA('Raw Data'!A2:A81)</f>
        <v>80</v>
      </c>
      <c r="C6" s="53">
        <v>78</v>
      </c>
      <c r="D6" s="63">
        <f>B6-C6</f>
        <v>2</v>
      </c>
      <c r="E6" s="52">
        <f>IF(C6=0,"-",D6/C6)</f>
        <v>2.564102564102564E-2</v>
      </c>
      <c r="F6" s="49"/>
      <c r="G6" s="49"/>
      <c r="H6" s="108" t="s">
        <v>341</v>
      </c>
      <c r="I6" s="69">
        <f>SUMIFS('Raw Data'!K2:K81,'Raw Data'!S2:S81,"Stage 3")/SUM('Raw Data'!K2:K81)</f>
        <v>2.3067680188139737E-3</v>
      </c>
      <c r="J6" s="109">
        <v>0.03</v>
      </c>
      <c r="K6" s="110" t="str">
        <f>IF(I6&lt;=J6,"🟢 Green",IF(I6&lt;=J6*1.5,"🟡 Amber","🔴 Red"))</f>
        <v>🟢 Green</v>
      </c>
      <c r="L6" s="111"/>
    </row>
    <row r="7" spans="1:12" x14ac:dyDescent="0.2">
      <c r="A7" s="62" t="s">
        <v>302</v>
      </c>
      <c r="B7" s="51">
        <f>SUM('Raw Data'!K2:K81)</f>
        <v>1556.2900000000004</v>
      </c>
      <c r="C7" s="51">
        <f>SUM('Raw Data'!L2:L81)</f>
        <v>1588.6899999999998</v>
      </c>
      <c r="D7" s="51">
        <f>B7-C7</f>
        <v>-32.399999999999409</v>
      </c>
      <c r="E7" s="52">
        <f>IF(C7=0,"-",D7/C7)</f>
        <v>-2.0394161227174221E-2</v>
      </c>
      <c r="F7" s="49"/>
      <c r="G7" s="49"/>
      <c r="H7" s="108" t="s">
        <v>301</v>
      </c>
      <c r="I7" s="69">
        <f>SUMIFS('Raw Data'!K2:K81,'Raw Data'!S2:S81,"Stage 2")/SUM('Raw Data'!K2:K81)</f>
        <v>0.11413039986120836</v>
      </c>
      <c r="J7" s="109">
        <v>0.08</v>
      </c>
      <c r="K7" s="110" t="str">
        <f>IF(I7&lt;=J7,"🟢 Green",IF(I7&lt;=J7*1.5,"🟡 Amber","🔴 Red"))</f>
        <v>🟡 Amber</v>
      </c>
      <c r="L7" s="111"/>
    </row>
    <row r="8" spans="1:12" x14ac:dyDescent="0.2">
      <c r="A8" s="62" t="s">
        <v>304</v>
      </c>
      <c r="B8" s="51">
        <f>SUM('Raw Data'!U2:U81)</f>
        <v>34.86</v>
      </c>
      <c r="C8" s="51">
        <f>B8*0.92</f>
        <v>32.071199999999997</v>
      </c>
      <c r="D8" s="51">
        <f>B8-C8</f>
        <v>2.7888000000000019</v>
      </c>
      <c r="E8" s="52">
        <f>IF(C8=0,"-",D8/C8)</f>
        <v>8.6956521739130502E-2</v>
      </c>
      <c r="F8" s="49"/>
      <c r="G8" s="49"/>
      <c r="H8" s="108" t="s">
        <v>305</v>
      </c>
      <c r="I8" s="63">
        <f>COUNTIFS('Raw Data'!Z2:Z81,"Yes")</f>
        <v>9</v>
      </c>
      <c r="J8" s="53">
        <v>8</v>
      </c>
      <c r="K8" s="110" t="str">
        <f>IF(I8&lt;=J8,"🟢 Green",IF(I8&lt;=J8*1.25,"🟡 Amber","🔴 Red"))</f>
        <v>🟡 Amber</v>
      </c>
      <c r="L8" s="111"/>
    </row>
    <row r="9" spans="1:12" x14ac:dyDescent="0.2">
      <c r="A9" s="62" t="s">
        <v>342</v>
      </c>
      <c r="B9" s="54" cm="1">
        <f t="array" ref="B9">SUMPRODUCT('Raw Data'!P2:P81*1,'Raw Data'!K2:K81)/SUM('Raw Data'!K2:K81)</f>
        <v>4.8438722860135313</v>
      </c>
      <c r="C9" s="112">
        <v>4.8</v>
      </c>
      <c r="D9" s="54">
        <f>B9-C9</f>
        <v>4.3872286013531436E-2</v>
      </c>
      <c r="E9" s="52">
        <f>IF(C9=0,"-",D9/C9)</f>
        <v>9.1400595861523826E-3</v>
      </c>
      <c r="F9" s="49"/>
      <c r="G9" s="49"/>
      <c r="H9" s="108" t="s">
        <v>306</v>
      </c>
      <c r="I9" s="51">
        <f>SUMIFS('Raw Data'!K2:K81,'Raw Data'!Z2:Z81,"Yes")</f>
        <v>181.21</v>
      </c>
      <c r="J9" s="113">
        <v>100</v>
      </c>
      <c r="K9" s="110" t="str">
        <f>IF(I9&lt;=J9,"🟢 Green",IF(I9&lt;=J9*1.25,"🟡 Amber","🔴 Red"))</f>
        <v>🔴 Red</v>
      </c>
      <c r="L9" s="111"/>
    </row>
    <row r="10" spans="1:12" x14ac:dyDescent="0.2">
      <c r="A10" s="62" t="s">
        <v>343</v>
      </c>
      <c r="B10" s="52">
        <f>SUM('Raw Data'!K2:K81)/SUM('Raw Data'!J2:J81)</f>
        <v>0.81917760629954417</v>
      </c>
      <c r="C10" s="114">
        <v>0.78</v>
      </c>
      <c r="D10" s="52">
        <f>B10-C10</f>
        <v>3.9177606299544143E-2</v>
      </c>
      <c r="E10" s="52">
        <f>IF(C10=0,"-",D10/C10)</f>
        <v>5.0227700384030953E-2</v>
      </c>
      <c r="F10" s="49"/>
      <c r="G10" s="49"/>
      <c r="H10" s="108" t="s">
        <v>303</v>
      </c>
      <c r="I10" s="52">
        <f>AVERAGE('Raw Data'!W2:W81)</f>
        <v>0.84262499999999996</v>
      </c>
      <c r="J10" s="114">
        <v>0.8</v>
      </c>
      <c r="K10" s="110" t="str">
        <f>IF(I10&gt;=J10,"🟢 Green",IF(I10&gt;=J10*0.9,"🟡 Amber","🔴 Red"))</f>
        <v>🟢 Green</v>
      </c>
      <c r="L10" s="111"/>
    </row>
    <row r="11" spans="1:12" x14ac:dyDescent="0.2">
      <c r="A11" s="115" t="s">
        <v>307</v>
      </c>
      <c r="B11" s="116">
        <f>AVERAGE('Raw Data'!M2:M81)</f>
        <v>125.125</v>
      </c>
      <c r="C11" s="58">
        <v>125</v>
      </c>
      <c r="D11" s="116">
        <f>B11-C11</f>
        <v>0.125</v>
      </c>
      <c r="E11" s="57">
        <f>IF(C11=0,"-",D11/C11)</f>
        <v>1E-3</v>
      </c>
      <c r="F11" s="56"/>
      <c r="G11" s="56"/>
      <c r="H11" s="117" t="s">
        <v>308</v>
      </c>
      <c r="I11" s="57">
        <f>SUMPRODUCT('Raw Data'!X2:X81,'Raw Data'!K2:K81)/SUM('Raw Data'!K2:K81)</f>
        <v>0.53278534206349704</v>
      </c>
      <c r="J11" s="118">
        <v>0.55000000000000004</v>
      </c>
      <c r="K11" s="119" t="str">
        <f>IF(I11&lt;=J11,"🟢 Green",IF(I11&lt;=J11*1.1,"🟡 Amber","🔴 Red"))</f>
        <v>🟢 Green</v>
      </c>
      <c r="L11" s="120"/>
    </row>
    <row r="12" spans="1:12" x14ac:dyDescent="0.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1:12" x14ac:dyDescent="0.2">
      <c r="A13" s="105" t="s">
        <v>344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</row>
    <row r="14" spans="1:12" x14ac:dyDescent="0.2">
      <c r="A14" s="1" t="s">
        <v>329</v>
      </c>
      <c r="B14" s="2" t="s">
        <v>345</v>
      </c>
      <c r="C14" s="2" t="s">
        <v>346</v>
      </c>
      <c r="D14" s="2" t="s">
        <v>9</v>
      </c>
      <c r="E14" s="2" t="s">
        <v>347</v>
      </c>
      <c r="F14" s="2" t="s">
        <v>348</v>
      </c>
      <c r="G14" s="2" t="s">
        <v>309</v>
      </c>
      <c r="H14" s="2" t="s">
        <v>310</v>
      </c>
      <c r="I14" s="2" t="s">
        <v>312</v>
      </c>
      <c r="J14" s="2" t="s">
        <v>349</v>
      </c>
      <c r="K14" s="2" t="s">
        <v>319</v>
      </c>
      <c r="L14" s="3" t="s">
        <v>350</v>
      </c>
    </row>
    <row r="15" spans="1:12" x14ac:dyDescent="0.2">
      <c r="A15" s="62" t="s">
        <v>330</v>
      </c>
      <c r="B15" s="49" t="s">
        <v>351</v>
      </c>
      <c r="C15" s="50">
        <f>COUNTIFS('Raw Data'!B$2:B$81,$A15)</f>
        <v>29</v>
      </c>
      <c r="D15" s="51">
        <f>SUMIFS('Raw Data'!K$2:K$81,'Raw Data'!B$2:B$81,$A15)</f>
        <v>558.09</v>
      </c>
      <c r="E15" s="52">
        <f>D15/$B$7</f>
        <v>0.35860283109189156</v>
      </c>
      <c r="F15" s="52">
        <f>IF(SUMIFS('Raw Data'!L$2:L$81,'Raw Data'!B$2:B$81,$A15)=0,"-",(D15-SUMIFS('Raw Data'!L$2:L$81,'Raw Data'!B$2:B$81,$A15))/SUMIFS('Raw Data'!L$2:L$81,'Raw Data'!B$2:B$81,$A15))</f>
        <v>-3.3359314107560385E-2</v>
      </c>
      <c r="G15" s="52">
        <f>IF(D15=0,"-",(SUMIFS('Raw Data'!K$2:K$81,'Raw Data'!B$2:B$81,$A15,'Raw Data'!S$2:S$81,"Stage 2")+SUMIFS('Raw Data'!K$2:K$81,'Raw Data'!B$2:B$81,$A15,'Raw Data'!S$2:S$81,"Stage 3"))/D15)</f>
        <v>3.7090791807772934E-3</v>
      </c>
      <c r="H15" s="54" cm="1">
        <f t="array" ref="H15">IF(C15=0,"-",SUMPRODUCT(('Raw Data'!B$2:B$81=$A15)*('Raw Data'!P$2:P$81*1)*('Raw Data'!K$2:K$81))/D15)</f>
        <v>4.5330323066172111</v>
      </c>
      <c r="I15" s="52">
        <f>IF(C15=0,"-",AVERAGEIFS('Raw Data'!W$2:W$81,'Raw Data'!B$2:B$81,$A15))</f>
        <v>0.83862068965517256</v>
      </c>
      <c r="J15" s="50">
        <f>COUNTIFS('Raw Data'!B$2:B$81,$A15,'Raw Data'!Z$2:Z$81,"Yes")</f>
        <v>1</v>
      </c>
      <c r="K15" s="51">
        <f>SUMIFS('Raw Data'!U$2:U$81,'Raw Data'!B$2:B$81,$A15)</f>
        <v>7.5699999999999994</v>
      </c>
      <c r="L15" s="55" t="str">
        <f>IF(G15&gt;0.15,"🔴 Red",IF(G15&gt;0.08,"🟡 Amber","🟢 Green"))</f>
        <v>🟢 Green</v>
      </c>
    </row>
    <row r="16" spans="1:12" x14ac:dyDescent="0.2">
      <c r="A16" s="62" t="s">
        <v>331</v>
      </c>
      <c r="B16" s="49" t="s">
        <v>352</v>
      </c>
      <c r="C16" s="50">
        <f>COUNTIFS('Raw Data'!B$2:B$81,$A16)</f>
        <v>12</v>
      </c>
      <c r="D16" s="51">
        <f>SUMIFS('Raw Data'!K$2:K$81,'Raw Data'!B$2:B$81,$A16)</f>
        <v>198.29</v>
      </c>
      <c r="E16" s="52">
        <f>D16/$B$7</f>
        <v>0.12741198619794508</v>
      </c>
      <c r="F16" s="52">
        <f>IF(SUMIFS('Raw Data'!L$2:L$81,'Raw Data'!B$2:B$81,$A16)=0,"-",(D16-SUMIFS('Raw Data'!L$2:L$81,'Raw Data'!B$2:B$81,$A16))/SUMIFS('Raw Data'!L$2:L$81,'Raw Data'!B$2:B$81,$A16))</f>
        <v>-6.0682141165324631E-2</v>
      </c>
      <c r="G16" s="52">
        <f>IF(D16=0,"-",(SUMIFS('Raw Data'!K$2:K$81,'Raw Data'!B$2:B$81,$A16,'Raw Data'!S$2:S$81,"Stage 2")+SUMIFS('Raw Data'!K$2:K$81,'Raw Data'!B$2:B$81,$A16,'Raw Data'!S$2:S$81,"Stage 3"))/D16)</f>
        <v>5.0935498512279992E-2</v>
      </c>
      <c r="H16" s="54" cm="1">
        <f t="array" ref="H16">IF(C16=0,"-",SUMPRODUCT(('Raw Data'!B$2:B$81=$A16)*('Raw Data'!P$2:P$81*1)*('Raw Data'!K$2:K$81))/D16)</f>
        <v>5.3078823944727436</v>
      </c>
      <c r="I16" s="52">
        <f>IF(C16=0,"-",AVERAGEIFS('Raw Data'!W$2:W$81,'Raw Data'!B$2:B$81,$A16))</f>
        <v>0.85916666666666652</v>
      </c>
      <c r="J16" s="50">
        <f>COUNTIFS('Raw Data'!B$2:B$81,$A16,'Raw Data'!Z$2:Z$81,"Yes")</f>
        <v>2</v>
      </c>
      <c r="K16" s="51">
        <f>SUMIFS('Raw Data'!U$2:U$81,'Raw Data'!B$2:B$81,$A16)</f>
        <v>4.71</v>
      </c>
      <c r="L16" s="55" t="str">
        <f>IF(G16&gt;0.15,"🔴 Red",IF(G16&gt;0.08,"🟡 Amber","🟢 Green"))</f>
        <v>🟢 Green</v>
      </c>
    </row>
    <row r="17" spans="1:12" x14ac:dyDescent="0.2">
      <c r="A17" s="62" t="s">
        <v>333</v>
      </c>
      <c r="B17" s="49" t="s">
        <v>353</v>
      </c>
      <c r="C17" s="50">
        <f>COUNTIFS('Raw Data'!B$2:B$81,$A17)</f>
        <v>19</v>
      </c>
      <c r="D17" s="51">
        <f>SUMIFS('Raw Data'!K$2:K$81,'Raw Data'!B$2:B$81,$A17)</f>
        <v>433.57</v>
      </c>
      <c r="E17" s="52">
        <f>D17/$B$7</f>
        <v>0.27859203618862799</v>
      </c>
      <c r="F17" s="52">
        <f>IF(SUMIFS('Raw Data'!L$2:L$81,'Raw Data'!B$2:B$81,$A17)=0,"-",(D17-SUMIFS('Raw Data'!L$2:L$81,'Raw Data'!B$2:B$81,$A17))/SUMIFS('Raw Data'!L$2:L$81,'Raw Data'!B$2:B$81,$A17))</f>
        <v>3.5877968612561856E-3</v>
      </c>
      <c r="G17" s="52">
        <f>IF(D17=0,"-",(SUMIFS('Raw Data'!K$2:K$81,'Raw Data'!B$2:B$81,$A17,'Raw Data'!S$2:S$81,"Stage 2")+SUMIFS('Raw Data'!K$2:K$81,'Raw Data'!B$2:B$81,$A17,'Raw Data'!S$2:S$81,"Stage 3"))/D17)</f>
        <v>0.33475563346172477</v>
      </c>
      <c r="H17" s="54" cm="1">
        <f t="array" ref="H17">IF(C17=0,"-",SUMPRODUCT(('Raw Data'!B$2:B$81=$A17)*('Raw Data'!P$2:P$81*1)*('Raw Data'!K$2:K$81))/D17)</f>
        <v>5.8177226284106371</v>
      </c>
      <c r="I17" s="52">
        <f>IF(C17=0,"-",AVERAGEIFS('Raw Data'!W$2:W$81,'Raw Data'!B$2:B$81,$A17))</f>
        <v>0.79578947368421027</v>
      </c>
      <c r="J17" s="50">
        <f>COUNTIFS('Raw Data'!B$2:B$81,$A17,'Raw Data'!Z$2:Z$81,"Yes")</f>
        <v>5</v>
      </c>
      <c r="K17" s="51">
        <f>SUMIFS('Raw Data'!U$2:U$81,'Raw Data'!B$2:B$81,$A17)</f>
        <v>15.98</v>
      </c>
      <c r="L17" s="55" t="str">
        <f>IF(G17&gt;0.15,"🔴 Red",IF(G17&gt;0.08,"🟡 Amber","🟢 Green"))</f>
        <v>🔴 Red</v>
      </c>
    </row>
    <row r="18" spans="1:12" x14ac:dyDescent="0.2">
      <c r="A18" s="62" t="s">
        <v>332</v>
      </c>
      <c r="B18" s="49" t="s">
        <v>354</v>
      </c>
      <c r="C18" s="50">
        <f>COUNTIFS('Raw Data'!B$2:B$81,$A18)</f>
        <v>18</v>
      </c>
      <c r="D18" s="51">
        <f>SUMIFS('Raw Data'!K$2:K$81,'Raw Data'!B$2:B$81,$A18)</f>
        <v>333.65000000000003</v>
      </c>
      <c r="E18" s="52">
        <f>D18/$B$7</f>
        <v>0.21438806392124857</v>
      </c>
      <c r="F18" s="52">
        <f>IF(SUMIFS('Raw Data'!L$2:L$81,'Raw Data'!B$2:B$81,$A18)=0,"-",(D18-SUMIFS('Raw Data'!L$2:L$81,'Raw Data'!B$2:B$81,$A18))/SUMIFS('Raw Data'!L$2:L$81,'Raw Data'!B$2:B$81,$A18))</f>
        <v>-9.5291812622452145E-3</v>
      </c>
      <c r="G18" s="52">
        <f>IF(D18=0,"-",(SUMIFS('Raw Data'!K$2:K$81,'Raw Data'!B$2:B$81,$A18,'Raw Data'!S$2:S$81,"Stage 2")+SUMIFS('Raw Data'!K$2:K$81,'Raw Data'!B$2:B$81,$A18,'Raw Data'!S$2:S$81,"Stage 3"))/D18)</f>
        <v>7.163194964783455E-2</v>
      </c>
      <c r="H18" s="54" cm="1">
        <f t="array" ref="H18">IF(C18=0,"-",SUMPRODUCT(('Raw Data'!B$2:B$81=$A18)*('Raw Data'!P$2:P$81*1)*('Raw Data'!K$2:K$81))/D18)</f>
        <v>3.9808481942154952</v>
      </c>
      <c r="I18" s="52">
        <f>IF(C18=0,"-",AVERAGEIFS('Raw Data'!W$2:W$81,'Raw Data'!B$2:B$81,$A18))</f>
        <v>0.87555555555555542</v>
      </c>
      <c r="J18" s="50">
        <f>COUNTIFS('Raw Data'!B$2:B$81,$A18,'Raw Data'!Z$2:Z$81,"Yes")</f>
        <v>1</v>
      </c>
      <c r="K18" s="51">
        <f>SUMIFS('Raw Data'!U$2:U$81,'Raw Data'!B$2:B$81,$A18)</f>
        <v>6.3800000000000008</v>
      </c>
      <c r="L18" s="55" t="str">
        <f>IF(G18&gt;0.15,"🔴 Red",IF(G18&gt;0.08,"🟡 Amber","🟢 Green"))</f>
        <v>🟢 Green</v>
      </c>
    </row>
    <row r="19" spans="1:12" x14ac:dyDescent="0.2">
      <c r="A19" s="62" t="s">
        <v>334</v>
      </c>
      <c r="B19" s="49" t="s">
        <v>355</v>
      </c>
      <c r="C19" s="50">
        <f>COUNTIFS('Raw Data'!B$2:B$81,$A19)</f>
        <v>2</v>
      </c>
      <c r="D19" s="51">
        <f>SUMIFS('Raw Data'!K$2:K$81,'Raw Data'!B$2:B$81,$A19)</f>
        <v>32.69</v>
      </c>
      <c r="E19" s="52">
        <f>D19/$B$7</f>
        <v>2.1005082600286572E-2</v>
      </c>
      <c r="F19" s="52">
        <f>IF(SUMIFS('Raw Data'!L$2:L$81,'Raw Data'!B$2:B$81,$A19)=0,"-",(D19-SUMIFS('Raw Data'!L$2:L$81,'Raw Data'!B$2:B$81,$A19))/SUMIFS('Raw Data'!L$2:L$81,'Raw Data'!B$2:B$81,$A19))</f>
        <v>4.2410714285714232E-2</v>
      </c>
      <c r="G19" s="52">
        <f>IF(D19=0,"-",(SUMIFS('Raw Data'!K$2:K$81,'Raw Data'!B$2:B$81,$A19,'Raw Data'!S$2:S$81,"Stage 2")+SUMIFS('Raw Data'!K$2:K$81,'Raw Data'!B$2:B$81,$A19,'Raw Data'!S$2:S$81,"Stage 3"))/D19)</f>
        <v>0</v>
      </c>
      <c r="H19" s="54" cm="1">
        <f t="array" ref="H19">IF(C19=0,"-",SUMPRODUCT(('Raw Data'!B$2:B$81=$A19)*('Raw Data'!P$2:P$81*1)*('Raw Data'!K$2:K$81))/D19)</f>
        <v>3.2282043438360359</v>
      </c>
      <c r="I19" s="52">
        <f>IF(C19=0,"-",AVERAGEIFS('Raw Data'!W$2:W$81,'Raw Data'!B$2:B$81,$A19))</f>
        <v>0.95</v>
      </c>
      <c r="J19" s="50">
        <f>COUNTIFS('Raw Data'!B$2:B$81,$A19,'Raw Data'!Z$2:Z$81,"Yes")</f>
        <v>0</v>
      </c>
      <c r="K19" s="51">
        <f>SUMIFS('Raw Data'!U$2:U$81,'Raw Data'!B$2:B$81,$A19)</f>
        <v>0.22000000000000003</v>
      </c>
      <c r="L19" s="55" t="str">
        <f>IF(G19&gt;0.15,"🔴 Red",IF(G19&gt;0.08,"🟡 Amber","🟢 Green"))</f>
        <v>🟢 Green</v>
      </c>
    </row>
    <row r="20" spans="1:12" x14ac:dyDescent="0.2">
      <c r="A20" s="64" t="s">
        <v>356</v>
      </c>
      <c r="B20" s="70"/>
      <c r="C20" s="65">
        <f>SUM(C15:C19)</f>
        <v>80</v>
      </c>
      <c r="D20" s="66">
        <f>SUM(D15:D19)</f>
        <v>1556.2900000000002</v>
      </c>
      <c r="E20" s="67">
        <f>SUM(E15:E19)</f>
        <v>0.99999999999999978</v>
      </c>
      <c r="F20" s="67">
        <f>IF($C$7=0,"-",(D20-$C$7)/$C$7)</f>
        <v>-2.0394161227174364E-2</v>
      </c>
      <c r="G20" s="67">
        <f>IF(D20=0,"-",(SUMIFS('Raw Data'!K$2:K$81,'Raw Data'!S$2:S$81,"Stage 2")+SUMIFS('Raw Data'!K$2:K$81,'Raw Data'!S$2:S$81,"Stage 3"))/D20)</f>
        <v>0.11643716788002235</v>
      </c>
      <c r="H20" s="68">
        <f>$B$9</f>
        <v>4.8438722860135313</v>
      </c>
      <c r="I20" s="67">
        <f>$I$10</f>
        <v>0.84262499999999996</v>
      </c>
      <c r="J20" s="65">
        <f>SUM(J15:J19)</f>
        <v>9</v>
      </c>
      <c r="K20" s="66">
        <f>SUM(K15:K19)</f>
        <v>34.86</v>
      </c>
      <c r="L20" s="71"/>
    </row>
  </sheetData>
  <mergeCells count="2">
    <mergeCell ref="A1:L1"/>
    <mergeCell ref="A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917E-919F-A947-8489-B501C09D0746}">
  <dimension ref="A1:L11"/>
  <sheetViews>
    <sheetView zoomScale="170" zoomScaleNormal="170" workbookViewId="0">
      <pane ySplit="4" topLeftCell="A5" activePane="bottomLeft" state="frozen"/>
      <selection pane="bottomLeft" activeCell="K6" sqref="K6"/>
    </sheetView>
  </sheetViews>
  <sheetFormatPr baseColWidth="10" defaultRowHeight="16" x14ac:dyDescent="0.2"/>
  <cols>
    <col min="1" max="1" width="33.33203125" customWidth="1"/>
    <col min="2" max="2" width="25" customWidth="1"/>
    <col min="3" max="12" width="19.1640625" customWidth="1"/>
  </cols>
  <sheetData>
    <row r="1" spans="1:12" ht="30" customHeight="1" x14ac:dyDescent="0.25">
      <c r="A1" s="127" t="s">
        <v>371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x14ac:dyDescent="0.2">
      <c r="A2" s="128" t="s">
        <v>372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4" spans="1:12" x14ac:dyDescent="0.2">
      <c r="A4" s="105" t="s">
        <v>373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x14ac:dyDescent="0.2">
      <c r="A5" s="72" t="s">
        <v>329</v>
      </c>
      <c r="B5" s="73" t="s">
        <v>345</v>
      </c>
      <c r="C5" s="73" t="s">
        <v>374</v>
      </c>
      <c r="D5" s="73" t="s">
        <v>9</v>
      </c>
      <c r="E5" s="73" t="s">
        <v>375</v>
      </c>
      <c r="F5" s="73" t="s">
        <v>324</v>
      </c>
      <c r="G5" s="73" t="s">
        <v>376</v>
      </c>
      <c r="H5" s="73" t="s">
        <v>377</v>
      </c>
      <c r="I5" s="73" t="s">
        <v>378</v>
      </c>
      <c r="J5" s="73" t="s">
        <v>319</v>
      </c>
      <c r="K5" s="73" t="s">
        <v>379</v>
      </c>
      <c r="L5" s="74" t="s">
        <v>300</v>
      </c>
    </row>
    <row r="6" spans="1:12" x14ac:dyDescent="0.2">
      <c r="A6" s="85" t="s">
        <v>330</v>
      </c>
      <c r="B6" s="75" t="s">
        <v>351</v>
      </c>
      <c r="C6" s="92">
        <v>700</v>
      </c>
      <c r="D6" s="77">
        <f>SUMIFS('Raw Data'!K$2:K$81,'Raw Data'!B$2:B$81,$A6)</f>
        <v>558.09</v>
      </c>
      <c r="E6" s="77">
        <f>C6-D6</f>
        <v>141.90999999999997</v>
      </c>
      <c r="F6" s="78">
        <f>D6/C6</f>
        <v>0.79727142857142863</v>
      </c>
      <c r="G6" s="77">
        <f>SUMIFS('Raw Data'!K$2:K$81,'Raw Data'!B$2:B$81,$A6,'Raw Data'!S$2:S$81,"Stage 1")</f>
        <v>556.02</v>
      </c>
      <c r="H6" s="77">
        <f>SUMIFS('Raw Data'!K$2:K$81,'Raw Data'!B$2:B$81,$A6,'Raw Data'!S$2:S$81,"Stage 2")</f>
        <v>2.0699999999999998</v>
      </c>
      <c r="I6" s="77">
        <f>SUMIFS('Raw Data'!K$2:K$81,'Raw Data'!B$2:B$81,$A6,'Raw Data'!S$2:S$81,"Stage 3")</f>
        <v>0</v>
      </c>
      <c r="J6" s="77">
        <f>SUMIFS('Raw Data'!U$2:U$81,'Raw Data'!B$2:B$81,$A6)</f>
        <v>7.5699999999999994</v>
      </c>
      <c r="K6" s="129">
        <f>IF(D6=0,"-",J6/D6)</f>
        <v>1.3564120482359474E-2</v>
      </c>
      <c r="L6" s="87" t="str">
        <f>IF(F6&gt;=0.85,"🔴 CRITICAL",IF(F6&gt;=0.7,"🟡 WARNING","🟢 NORMAL"))</f>
        <v>🟡 WARNING</v>
      </c>
    </row>
    <row r="7" spans="1:12" x14ac:dyDescent="0.2">
      <c r="A7" s="85" t="s">
        <v>331</v>
      </c>
      <c r="B7" s="75" t="s">
        <v>352</v>
      </c>
      <c r="C7" s="92">
        <v>300</v>
      </c>
      <c r="D7" s="77">
        <f>SUMIFS('Raw Data'!K$2:K$81,'Raw Data'!B$2:B$81,$A7)</f>
        <v>198.29</v>
      </c>
      <c r="E7" s="77">
        <f>C7-D7</f>
        <v>101.71000000000001</v>
      </c>
      <c r="F7" s="78">
        <f>D7/C7</f>
        <v>0.66096666666666659</v>
      </c>
      <c r="G7" s="77">
        <f>SUMIFS('Raw Data'!K$2:K$81,'Raw Data'!B$2:B$81,$A7,'Raw Data'!S$2:S$81,"Stage 1")</f>
        <v>188.19</v>
      </c>
      <c r="H7" s="77">
        <f>SUMIFS('Raw Data'!K$2:K$81,'Raw Data'!B$2:B$81,$A7,'Raw Data'!S$2:S$81,"Stage 2")</f>
        <v>6.51</v>
      </c>
      <c r="I7" s="77">
        <f>SUMIFS('Raw Data'!K$2:K$81,'Raw Data'!B$2:B$81,$A7,'Raw Data'!S$2:S$81,"Stage 3")</f>
        <v>3.59</v>
      </c>
      <c r="J7" s="77">
        <f>SUMIFS('Raw Data'!U$2:U$81,'Raw Data'!B$2:B$81,$A7)</f>
        <v>4.71</v>
      </c>
      <c r="K7" s="129">
        <f>IF(D7=0,"-",J7/D7)</f>
        <v>2.3753088910182057E-2</v>
      </c>
      <c r="L7" s="87" t="str">
        <f>IF(F7&gt;=0.85,"🔴 CRITICAL",IF(F7&gt;=0.7,"🟡 WARNING","🟢 NORMAL"))</f>
        <v>🟢 NORMAL</v>
      </c>
    </row>
    <row r="8" spans="1:12" x14ac:dyDescent="0.2">
      <c r="A8" s="85" t="s">
        <v>333</v>
      </c>
      <c r="B8" s="75" t="s">
        <v>353</v>
      </c>
      <c r="C8" s="92">
        <v>500</v>
      </c>
      <c r="D8" s="77">
        <f>SUMIFS('Raw Data'!K$2:K$81,'Raw Data'!B$2:B$81,$A8)</f>
        <v>433.57</v>
      </c>
      <c r="E8" s="77">
        <f>C8-D8</f>
        <v>66.430000000000007</v>
      </c>
      <c r="F8" s="78">
        <f>D8/C8</f>
        <v>0.86714000000000002</v>
      </c>
      <c r="G8" s="77">
        <f>SUMIFS('Raw Data'!K$2:K$81,'Raw Data'!B$2:B$81,$A8,'Raw Data'!S$2:S$81,"Stage 1")</f>
        <v>288.43</v>
      </c>
      <c r="H8" s="77">
        <f>SUMIFS('Raw Data'!K$2:K$81,'Raw Data'!B$2:B$81,$A8,'Raw Data'!S$2:S$81,"Stage 2")</f>
        <v>145.14000000000001</v>
      </c>
      <c r="I8" s="77">
        <f>SUMIFS('Raw Data'!K$2:K$81,'Raw Data'!B$2:B$81,$A8,'Raw Data'!S$2:S$81,"Stage 3")</f>
        <v>0</v>
      </c>
      <c r="J8" s="77">
        <f>SUMIFS('Raw Data'!U$2:U$81,'Raw Data'!B$2:B$81,$A8)</f>
        <v>15.98</v>
      </c>
      <c r="K8" s="129">
        <f>IF(D8=0,"-",J8/D8)</f>
        <v>3.6856793597342993E-2</v>
      </c>
      <c r="L8" s="87" t="str">
        <f>IF(F8&gt;=0.85,"🔴 CRITICAL",IF(F8&gt;=0.7,"🟡 WARNING","🟢 NORMAL"))</f>
        <v>🔴 CRITICAL</v>
      </c>
    </row>
    <row r="9" spans="1:12" x14ac:dyDescent="0.2">
      <c r="A9" s="85" t="s">
        <v>332</v>
      </c>
      <c r="B9" s="75" t="s">
        <v>354</v>
      </c>
      <c r="C9" s="92">
        <v>400</v>
      </c>
      <c r="D9" s="77">
        <f>SUMIFS('Raw Data'!K$2:K$81,'Raw Data'!B$2:B$81,$A9)</f>
        <v>333.65000000000003</v>
      </c>
      <c r="E9" s="77">
        <f>C9-D9</f>
        <v>66.349999999999966</v>
      </c>
      <c r="F9" s="78">
        <f>D9/C9</f>
        <v>0.83412500000000012</v>
      </c>
      <c r="G9" s="77">
        <f>SUMIFS('Raw Data'!K$2:K$81,'Raw Data'!B$2:B$81,$A9,'Raw Data'!S$2:S$81,"Stage 1")</f>
        <v>309.75000000000006</v>
      </c>
      <c r="H9" s="77">
        <f>SUMIFS('Raw Data'!K$2:K$81,'Raw Data'!B$2:B$81,$A9,'Raw Data'!S$2:S$81,"Stage 2")</f>
        <v>23.9</v>
      </c>
      <c r="I9" s="77">
        <f>SUMIFS('Raw Data'!K$2:K$81,'Raw Data'!B$2:B$81,$A9,'Raw Data'!S$2:S$81,"Stage 3")</f>
        <v>0</v>
      </c>
      <c r="J9" s="77">
        <f>SUMIFS('Raw Data'!U$2:U$81,'Raw Data'!B$2:B$81,$A9)</f>
        <v>6.3800000000000008</v>
      </c>
      <c r="K9" s="129">
        <f>IF(D9=0,"-",J9/D9)</f>
        <v>1.9121834257455419E-2</v>
      </c>
      <c r="L9" s="87" t="str">
        <f>IF(F9&gt;=0.85,"🔴 CRITICAL",IF(F9&gt;=0.7,"🟡 WARNING","🟢 NORMAL"))</f>
        <v>🟡 WARNING</v>
      </c>
    </row>
    <row r="10" spans="1:12" x14ac:dyDescent="0.2">
      <c r="A10" s="85" t="s">
        <v>334</v>
      </c>
      <c r="B10" s="75" t="s">
        <v>355</v>
      </c>
      <c r="C10" s="92">
        <v>50</v>
      </c>
      <c r="D10" s="77">
        <f>SUMIFS('Raw Data'!K$2:K$81,'Raw Data'!B$2:B$81,$A10)</f>
        <v>32.69</v>
      </c>
      <c r="E10" s="77">
        <f>C10-D10</f>
        <v>17.310000000000002</v>
      </c>
      <c r="F10" s="78">
        <f>D10/C10</f>
        <v>0.65379999999999994</v>
      </c>
      <c r="G10" s="77">
        <f>SUMIFS('Raw Data'!K$2:K$81,'Raw Data'!B$2:B$81,$A10,'Raw Data'!S$2:S$81,"Stage 1")</f>
        <v>32.69</v>
      </c>
      <c r="H10" s="77">
        <f>SUMIFS('Raw Data'!K$2:K$81,'Raw Data'!B$2:B$81,$A10,'Raw Data'!S$2:S$81,"Stage 2")</f>
        <v>0</v>
      </c>
      <c r="I10" s="77">
        <f>SUMIFS('Raw Data'!K$2:K$81,'Raw Data'!B$2:B$81,$A10,'Raw Data'!S$2:S$81,"Stage 3")</f>
        <v>0</v>
      </c>
      <c r="J10" s="77">
        <f>SUMIFS('Raw Data'!U$2:U$81,'Raw Data'!B$2:B$81,$A10)</f>
        <v>0.22000000000000003</v>
      </c>
      <c r="K10" s="129">
        <f>IF(D10=0,"-",J10/D10)</f>
        <v>6.7298868155399221E-3</v>
      </c>
      <c r="L10" s="87" t="str">
        <f>IF(F10&gt;=0.85,"🔴 CRITICAL",IF(F10&gt;=0.7,"🟡 WARNING","🟢 NORMAL"))</f>
        <v>🟢 NORMAL</v>
      </c>
    </row>
    <row r="11" spans="1:12" x14ac:dyDescent="0.2">
      <c r="A11" s="79" t="s">
        <v>356</v>
      </c>
      <c r="B11" s="80"/>
      <c r="C11" s="94">
        <f>SUM(C6:C10)</f>
        <v>1950</v>
      </c>
      <c r="D11" s="82">
        <f>SUM(D6:D10)</f>
        <v>1556.2900000000002</v>
      </c>
      <c r="E11" s="82">
        <f>SUM(E6:E10)</f>
        <v>393.70999999999992</v>
      </c>
      <c r="F11" s="83">
        <f>D11/C11</f>
        <v>0.79809743589743598</v>
      </c>
      <c r="G11" s="82">
        <f>SUM(G6:G10)</f>
        <v>1375.0800000000002</v>
      </c>
      <c r="H11" s="82">
        <f>SUM(H6:H10)</f>
        <v>177.62000000000003</v>
      </c>
      <c r="I11" s="82">
        <f>SUM(I6:I10)</f>
        <v>3.59</v>
      </c>
      <c r="J11" s="82">
        <f>SUM(J6:J10)</f>
        <v>34.86</v>
      </c>
      <c r="K11" s="130">
        <f>IF(D11=0,"-",J11/D11)</f>
        <v>2.2399424271825941E-2</v>
      </c>
      <c r="L11" s="131" t="str">
        <f>IF(F11&gt;=0.85,"🔴 CRITICAL",IF(F11&gt;=0.7,"🟡 WARNING","🟢 NORMAL"))</f>
        <v>🟡 WARNING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97D9-241D-834A-B373-535EF6258892}">
  <dimension ref="A1:J15"/>
  <sheetViews>
    <sheetView zoomScale="170" zoomScaleNormal="170" workbookViewId="0">
      <pane ySplit="3" topLeftCell="A4" activePane="bottomLeft" state="frozen"/>
      <selection pane="bottomLeft" activeCell="C3" sqref="C3"/>
    </sheetView>
  </sheetViews>
  <sheetFormatPr baseColWidth="10" defaultRowHeight="16" x14ac:dyDescent="0.2"/>
  <cols>
    <col min="1" max="1" width="33.33203125" customWidth="1"/>
    <col min="2" max="10" width="18.33203125" customWidth="1"/>
  </cols>
  <sheetData>
    <row r="1" spans="1:10" ht="30" customHeight="1" x14ac:dyDescent="0.25">
      <c r="A1" s="127" t="s">
        <v>317</v>
      </c>
      <c r="B1" s="127"/>
      <c r="C1" s="127"/>
      <c r="D1" s="127"/>
      <c r="E1" s="127"/>
      <c r="F1" s="127"/>
      <c r="G1" s="127"/>
      <c r="H1" s="127"/>
      <c r="I1" s="127"/>
      <c r="J1" s="127"/>
    </row>
    <row r="3" spans="1:10" x14ac:dyDescent="0.2">
      <c r="A3" s="30" t="s">
        <v>6</v>
      </c>
      <c r="B3" s="30" t="s">
        <v>346</v>
      </c>
      <c r="C3" s="30" t="s">
        <v>380</v>
      </c>
      <c r="D3" s="30" t="s">
        <v>9</v>
      </c>
      <c r="E3" s="30" t="s">
        <v>315</v>
      </c>
      <c r="F3" s="30" t="s">
        <v>381</v>
      </c>
      <c r="G3" s="30" t="s">
        <v>382</v>
      </c>
      <c r="H3" s="30" t="s">
        <v>309</v>
      </c>
      <c r="I3" s="30" t="s">
        <v>316</v>
      </c>
      <c r="J3" s="30" t="s">
        <v>349</v>
      </c>
    </row>
    <row r="4" spans="1:10" x14ac:dyDescent="0.2">
      <c r="A4" s="32" t="s">
        <v>41</v>
      </c>
      <c r="B4" s="33">
        <f>COUNTIFS('Raw Data'!H$2:H$81,$A4)</f>
        <v>24</v>
      </c>
      <c r="C4" s="37">
        <f>SUMIFS('Raw Data'!J$2:J$81,'Raw Data'!H$2:H$81,$A4)</f>
        <v>713.44000000000017</v>
      </c>
      <c r="D4" s="37">
        <f>SUMIFS('Raw Data'!K$2:K$81,'Raw Data'!H$2:H$81,$A4)</f>
        <v>592.30000000000007</v>
      </c>
      <c r="E4" s="35">
        <f>D4/SUM('Raw Data'!K$2:K$81)</f>
        <v>0.38058459541602135</v>
      </c>
      <c r="F4" s="34">
        <f>IF(B4=0,"-",AVERAGEIFS('Raw Data'!M$2:M$81,'Raw Data'!H$2:H$81,$A4))</f>
        <v>104.66666666666667</v>
      </c>
      <c r="G4" s="35">
        <f>IF(C4=0,"-",D4/C4)</f>
        <v>0.83020296030500107</v>
      </c>
      <c r="H4" s="35">
        <f>IF(D4=0,"-",(SUMIFS('Raw Data'!K$2:K$81,'Raw Data'!H$2:H$81,$A4,'Raw Data'!S$2:S$81,"Stage 2")+SUMIFS('Raw Data'!K$2:K$81,'Raw Data'!H$2:H$81,$A4,'Raw Data'!S$2:S$81,"Stage 3"))/D4)</f>
        <v>0.10859361809893632</v>
      </c>
      <c r="I4" s="39">
        <f>IF(B4=0,"-",AVERAGEIFS('Raw Data'!P$2:P$81,'Raw Data'!H$2:H$81,$A4))</f>
        <v>4.75</v>
      </c>
      <c r="J4" s="33">
        <f>COUNTIFS('Raw Data'!H$2:H$81,$A4,'Raw Data'!Z$2:Z$81,"Yes")</f>
        <v>3</v>
      </c>
    </row>
    <row r="5" spans="1:10" x14ac:dyDescent="0.2">
      <c r="A5" s="32" t="s">
        <v>57</v>
      </c>
      <c r="B5" s="33">
        <f>COUNTIFS('Raw Data'!H$2:H$81,$A5)</f>
        <v>10</v>
      </c>
      <c r="C5" s="37">
        <f>SUMIFS('Raw Data'!J$2:J$81,'Raw Data'!H$2:H$81,$A5)</f>
        <v>394.32999999999993</v>
      </c>
      <c r="D5" s="37">
        <f>SUMIFS('Raw Data'!K$2:K$81,'Raw Data'!H$2:H$81,$A5)</f>
        <v>311.10999999999996</v>
      </c>
      <c r="E5" s="35">
        <f>D5/SUM('Raw Data'!K$2:K$81)</f>
        <v>0.19990490204267833</v>
      </c>
      <c r="F5" s="34">
        <f>IF(B5=0,"-",AVERAGEIFS('Raw Data'!M$2:M$81,'Raw Data'!H$2:H$81,$A5))</f>
        <v>117.2</v>
      </c>
      <c r="G5" s="35">
        <f t="shared" ref="G5:G14" si="0">IF(C5=0,"-",D5/C5)</f>
        <v>0.7889584865468009</v>
      </c>
      <c r="H5" s="35">
        <f>IF(D5=0,"-",(SUMIFS('Raw Data'!K$2:K$81,'Raw Data'!H$2:H$81,$A5,'Raw Data'!S$2:S$81,"Stage 2")+SUMIFS('Raw Data'!K$2:K$81,'Raw Data'!H$2:H$81,$A5,'Raw Data'!S$2:S$81,"Stage 3"))/D5)</f>
        <v>0</v>
      </c>
      <c r="I5" s="39">
        <f>IF(B5=0,"-",AVERAGEIFS('Raw Data'!P$2:P$81,'Raw Data'!H$2:H$81,$A5))</f>
        <v>3.9</v>
      </c>
      <c r="J5" s="33">
        <f>COUNTIFS('Raw Data'!H$2:H$81,$A5,'Raw Data'!Z$2:Z$81,"Yes")</f>
        <v>0</v>
      </c>
    </row>
    <row r="6" spans="1:10" x14ac:dyDescent="0.2">
      <c r="A6" s="32" t="s">
        <v>86</v>
      </c>
      <c r="B6" s="33">
        <f>COUNTIFS('Raw Data'!H$2:H$81,$A6)</f>
        <v>8</v>
      </c>
      <c r="C6" s="37">
        <f>SUMIFS('Raw Data'!J$2:J$81,'Raw Data'!H$2:H$81,$A6)</f>
        <v>93.509999999999991</v>
      </c>
      <c r="D6" s="37">
        <f>SUMIFS('Raw Data'!K$2:K$81,'Raw Data'!H$2:H$81,$A6)</f>
        <v>77.62</v>
      </c>
      <c r="E6" s="35">
        <f>D6/SUM('Raw Data'!K$2:K$81)</f>
        <v>4.9875023292573997E-2</v>
      </c>
      <c r="F6" s="34">
        <f>IF(B6=0,"-",AVERAGEIFS('Raw Data'!M$2:M$81,'Raw Data'!H$2:H$81,$A6))</f>
        <v>248.5</v>
      </c>
      <c r="G6" s="35">
        <f t="shared" si="0"/>
        <v>0.83007165009089945</v>
      </c>
      <c r="H6" s="35">
        <f>IF(D6=0,"-",(SUMIFS('Raw Data'!K$2:K$81,'Raw Data'!H$2:H$81,$A6,'Raw Data'!S$2:S$81,"Stage 2")+SUMIFS('Raw Data'!K$2:K$81,'Raw Data'!H$2:H$81,$A6,'Raw Data'!S$2:S$81,"Stage 3"))/D6)</f>
        <v>0</v>
      </c>
      <c r="I6" s="39">
        <f>IF(B6=0,"-",AVERAGEIFS('Raw Data'!P$2:P$81,'Raw Data'!H$2:H$81,$A6))</f>
        <v>5.25</v>
      </c>
      <c r="J6" s="33">
        <f>COUNTIFS('Raw Data'!H$2:H$81,$A6,'Raw Data'!Z$2:Z$81,"Yes")</f>
        <v>0</v>
      </c>
    </row>
    <row r="7" spans="1:10" x14ac:dyDescent="0.2">
      <c r="A7" s="32" t="s">
        <v>137</v>
      </c>
      <c r="B7" s="33">
        <f>COUNTIFS('Raw Data'!H$2:H$81,$A7)</f>
        <v>4</v>
      </c>
      <c r="C7" s="37">
        <f>SUMIFS('Raw Data'!J$2:J$81,'Raw Data'!H$2:H$81,$A7)</f>
        <v>75.2</v>
      </c>
      <c r="D7" s="37">
        <f>SUMIFS('Raw Data'!K$2:K$81,'Raw Data'!H$2:H$81,$A7)</f>
        <v>68.91</v>
      </c>
      <c r="E7" s="35">
        <f>D7/SUM('Raw Data'!K$2:K$81)</f>
        <v>4.4278379993445936E-2</v>
      </c>
      <c r="F7" s="34">
        <f>IF(B7=0,"-",AVERAGEIFS('Raw Data'!M$2:M$81,'Raw Data'!H$2:H$81,$A7))</f>
        <v>247</v>
      </c>
      <c r="G7" s="35">
        <f t="shared" si="0"/>
        <v>0.91635638297872335</v>
      </c>
      <c r="H7" s="35">
        <f>IF(D7=0,"-",(SUMIFS('Raw Data'!K$2:K$81,'Raw Data'!H$2:H$81,$A7,'Raw Data'!S$2:S$81,"Stage 2")+SUMIFS('Raw Data'!K$2:K$81,'Raw Data'!H$2:H$81,$A7,'Raw Data'!S$2:S$81,"Stage 3"))/D7)</f>
        <v>0.60629806994630686</v>
      </c>
      <c r="I7" s="39">
        <f>IF(B7=0,"-",AVERAGEIFS('Raw Data'!P$2:P$81,'Raw Data'!H$2:H$81,$A7))</f>
        <v>5.75</v>
      </c>
      <c r="J7" s="33">
        <f>COUNTIFS('Raw Data'!H$2:H$81,$A7,'Raw Data'!Z$2:Z$81,"Yes")</f>
        <v>2</v>
      </c>
    </row>
    <row r="8" spans="1:10" x14ac:dyDescent="0.2">
      <c r="A8" s="32" t="s">
        <v>194</v>
      </c>
      <c r="B8" s="33">
        <f>COUNTIFS('Raw Data'!H$2:H$81,$A8)</f>
        <v>2</v>
      </c>
      <c r="C8" s="37">
        <f>SUMIFS('Raw Data'!J$2:J$81,'Raw Data'!H$2:H$81,$A8)</f>
        <v>21.2</v>
      </c>
      <c r="D8" s="37">
        <f>SUMIFS('Raw Data'!K$2:K$81,'Raw Data'!H$2:H$81,$A8)</f>
        <v>13.559999999999999</v>
      </c>
      <c r="E8" s="35">
        <f>D8/SUM('Raw Data'!K$2:K$81)</f>
        <v>8.7130290627068195E-3</v>
      </c>
      <c r="F8" s="34">
        <f>IF(B8=0,"-",AVERAGEIFS('Raw Data'!M$2:M$81,'Raw Data'!H$2:H$81,$A8))</f>
        <v>76.5</v>
      </c>
      <c r="G8" s="35">
        <f t="shared" si="0"/>
        <v>0.63962264150943393</v>
      </c>
      <c r="H8" s="35">
        <f>IF(D8=0,"-",(SUMIFS('Raw Data'!K$2:K$81,'Raw Data'!H$2:H$81,$A8,'Raw Data'!S$2:S$81,"Stage 2")+SUMIFS('Raw Data'!K$2:K$81,'Raw Data'!H$2:H$81,$A8,'Raw Data'!S$2:S$81,"Stage 3"))/D8)</f>
        <v>0</v>
      </c>
      <c r="I8" s="39">
        <f>IF(B8=0,"-",AVERAGEIFS('Raw Data'!P$2:P$81,'Raw Data'!H$2:H$81,$A8))</f>
        <v>4.5</v>
      </c>
      <c r="J8" s="33">
        <f>COUNTIFS('Raw Data'!H$2:H$81,$A8,'Raw Data'!Z$2:Z$81,"Yes")</f>
        <v>0</v>
      </c>
    </row>
    <row r="9" spans="1:10" x14ac:dyDescent="0.2">
      <c r="A9" s="32" t="s">
        <v>65</v>
      </c>
      <c r="B9" s="33">
        <f>COUNTIFS('Raw Data'!H$2:H$81,$A9)</f>
        <v>10</v>
      </c>
      <c r="C9" s="37">
        <f>SUMIFS('Raw Data'!J$2:J$81,'Raw Data'!H$2:H$81,$A9)</f>
        <v>262.92</v>
      </c>
      <c r="D9" s="37">
        <f>SUMIFS('Raw Data'!K$2:K$81,'Raw Data'!H$2:H$81,$A9)</f>
        <v>201.49999999999997</v>
      </c>
      <c r="E9" s="35">
        <f>D9/SUM('Raw Data'!K$2:K$81)</f>
        <v>0.12947458378579824</v>
      </c>
      <c r="F9" s="34">
        <f>IF(B9=0,"-",AVERAGEIFS('Raw Data'!M$2:M$81,'Raw Data'!H$2:H$81,$A9))</f>
        <v>102.1</v>
      </c>
      <c r="G9" s="35">
        <f t="shared" si="0"/>
        <v>0.7663928191084739</v>
      </c>
      <c r="H9" s="35">
        <f>IF(D9=0,"-",(SUMIFS('Raw Data'!K$2:K$81,'Raw Data'!H$2:H$81,$A9,'Raw Data'!S$2:S$81,"Stage 2")+SUMIFS('Raw Data'!K$2:K$81,'Raw Data'!H$2:H$81,$A9,'Raw Data'!S$2:S$81,"Stage 3"))/D9)</f>
        <v>0.14188585607940449</v>
      </c>
      <c r="I9" s="39">
        <f>IF(B9=0,"-",AVERAGEIFS('Raw Data'!P$2:P$81,'Raw Data'!H$2:H$81,$A9))</f>
        <v>4.8</v>
      </c>
      <c r="J9" s="33">
        <f>COUNTIFS('Raw Data'!H$2:H$81,$A9,'Raw Data'!Z$2:Z$81,"Yes")</f>
        <v>1</v>
      </c>
    </row>
    <row r="10" spans="1:10" x14ac:dyDescent="0.2">
      <c r="A10" s="32" t="s">
        <v>31</v>
      </c>
      <c r="B10" s="33">
        <f>COUNTIFS('Raw Data'!H$2:H$81,$A10)</f>
        <v>7</v>
      </c>
      <c r="C10" s="37">
        <f>SUMIFS('Raw Data'!J$2:J$81,'Raw Data'!H$2:H$81,$A10)</f>
        <v>153.38999999999999</v>
      </c>
      <c r="D10" s="37">
        <f>SUMIFS('Raw Data'!K$2:K$81,'Raw Data'!H$2:H$81,$A10)</f>
        <v>133.64000000000001</v>
      </c>
      <c r="E10" s="35">
        <f>D10/SUM('Raw Data'!K$2:K$81)</f>
        <v>8.587088524632297E-2</v>
      </c>
      <c r="F10" s="34">
        <f>IF(B10=0,"-",AVERAGEIFS('Raw Data'!M$2:M$81,'Raw Data'!H$2:H$81,$A10))</f>
        <v>75.571428571428569</v>
      </c>
      <c r="G10" s="35">
        <f t="shared" si="0"/>
        <v>0.87124323619531929</v>
      </c>
      <c r="H10" s="35">
        <f>IF(D10=0,"-",(SUMIFS('Raw Data'!K$2:K$81,'Raw Data'!H$2:H$81,$A10,'Raw Data'!S$2:S$81,"Stage 2")+SUMIFS('Raw Data'!K$2:K$81,'Raw Data'!H$2:H$81,$A10,'Raw Data'!S$2:S$81,"Stage 3"))/D10)</f>
        <v>0.32123615683926965</v>
      </c>
      <c r="I10" s="39">
        <f>IF(B10=0,"-",AVERAGEIFS('Raw Data'!P$2:P$81,'Raw Data'!H$2:H$81,$A10))</f>
        <v>6.1428571428571432</v>
      </c>
      <c r="J10" s="33">
        <f>COUNTIFS('Raw Data'!H$2:H$81,$A10,'Raw Data'!Z$2:Z$81,"Yes")</f>
        <v>2</v>
      </c>
    </row>
    <row r="11" spans="1:10" x14ac:dyDescent="0.2">
      <c r="A11" s="32" t="s">
        <v>74</v>
      </c>
      <c r="B11" s="33">
        <f>COUNTIFS('Raw Data'!H$2:H$81,$A11)</f>
        <v>7</v>
      </c>
      <c r="C11" s="37">
        <f>SUMIFS('Raw Data'!J$2:J$81,'Raw Data'!H$2:H$81,$A11)</f>
        <v>102.17</v>
      </c>
      <c r="D11" s="37">
        <f>SUMIFS('Raw Data'!K$2:K$81,'Raw Data'!H$2:H$81,$A11)</f>
        <v>89.43</v>
      </c>
      <c r="E11" s="35">
        <f>D11/SUM('Raw Data'!K$2:K$81)</f>
        <v>5.7463583265329715E-2</v>
      </c>
      <c r="F11" s="34">
        <f>IF(B11=0,"-",AVERAGEIFS('Raw Data'!M$2:M$81,'Raw Data'!H$2:H$81,$A11))</f>
        <v>76.428571428571431</v>
      </c>
      <c r="G11" s="35">
        <f t="shared" si="0"/>
        <v>0.87530586277772349</v>
      </c>
      <c r="H11" s="35">
        <f>IF(D11=0,"-",(SUMIFS('Raw Data'!K$2:K$81,'Raw Data'!H$2:H$81,$A11,'Raw Data'!S$2:S$81,"Stage 2")+SUMIFS('Raw Data'!K$2:K$81,'Raw Data'!H$2:H$81,$A11,'Raw Data'!S$2:S$81,"Stage 3"))/D11)</f>
        <v>0</v>
      </c>
      <c r="I11" s="39">
        <f>IF(B11=0,"-",AVERAGEIFS('Raw Data'!P$2:P$81,'Raw Data'!H$2:H$81,$A11))</f>
        <v>4.4285714285714288</v>
      </c>
      <c r="J11" s="33">
        <f>COUNTIFS('Raw Data'!H$2:H$81,$A11,'Raw Data'!Z$2:Z$81,"Yes")</f>
        <v>0</v>
      </c>
    </row>
    <row r="12" spans="1:10" x14ac:dyDescent="0.2">
      <c r="A12" s="32" t="s">
        <v>109</v>
      </c>
      <c r="B12" s="33">
        <f>COUNTIFS('Raw Data'!H$2:H$81,$A12)</f>
        <v>3</v>
      </c>
      <c r="C12" s="37">
        <f>SUMIFS('Raw Data'!J$2:J$81,'Raw Data'!H$2:H$81,$A12)</f>
        <v>37.1</v>
      </c>
      <c r="D12" s="37">
        <f>SUMIFS('Raw Data'!K$2:K$81,'Raw Data'!H$2:H$81,$A12)</f>
        <v>29.14</v>
      </c>
      <c r="E12" s="35">
        <f>D12/SUM('Raw Data'!K$2:K$81)</f>
        <v>1.8724016732100054E-2</v>
      </c>
      <c r="F12" s="34">
        <f>IF(B12=0,"-",AVERAGEIFS('Raw Data'!M$2:M$81,'Raw Data'!H$2:H$81,$A12))</f>
        <v>77</v>
      </c>
      <c r="G12" s="35">
        <f t="shared" si="0"/>
        <v>0.78544474393530994</v>
      </c>
      <c r="H12" s="35">
        <f>IF(D12=0,"-",(SUMIFS('Raw Data'!K$2:K$81,'Raw Data'!H$2:H$81,$A12,'Raw Data'!S$2:S$81,"Stage 2")+SUMIFS('Raw Data'!K$2:K$81,'Raw Data'!H$2:H$81,$A12,'Raw Data'!S$2:S$81,"Stage 3"))/D12)</f>
        <v>0.12319835277968427</v>
      </c>
      <c r="I12" s="39">
        <f>IF(B12=0,"-",AVERAGEIFS('Raw Data'!P$2:P$81,'Raw Data'!H$2:H$81,$A12))</f>
        <v>6</v>
      </c>
      <c r="J12" s="33">
        <f>COUNTIFS('Raw Data'!H$2:H$81,$A12,'Raw Data'!Z$2:Z$81,"Yes")</f>
        <v>1</v>
      </c>
    </row>
    <row r="13" spans="1:10" x14ac:dyDescent="0.2">
      <c r="A13" s="32" t="s">
        <v>185</v>
      </c>
      <c r="B13" s="33">
        <f>COUNTIFS('Raw Data'!H$2:H$81,$A13)</f>
        <v>2</v>
      </c>
      <c r="C13" s="37">
        <f>SUMIFS('Raw Data'!J$2:J$81,'Raw Data'!H$2:H$81,$A13)</f>
        <v>20.3</v>
      </c>
      <c r="D13" s="37">
        <f>SUMIFS('Raw Data'!K$2:K$81,'Raw Data'!H$2:H$81,$A13)</f>
        <v>18.559999999999999</v>
      </c>
      <c r="E13" s="35">
        <f>D13/SUM('Raw Data'!K$2:K$81)</f>
        <v>1.1925797891138536E-2</v>
      </c>
      <c r="F13" s="34">
        <f>IF(B13=0,"-",AVERAGEIFS('Raw Data'!M$2:M$81,'Raw Data'!H$2:H$81,$A13))</f>
        <v>108.5</v>
      </c>
      <c r="G13" s="35">
        <f t="shared" si="0"/>
        <v>0.91428571428571415</v>
      </c>
      <c r="H13" s="35">
        <f>IF(D13=0,"-",(SUMIFS('Raw Data'!K$2:K$81,'Raw Data'!H$2:H$81,$A13,'Raw Data'!S$2:S$81,"Stage 2")+SUMIFS('Raw Data'!K$2:K$81,'Raw Data'!H$2:H$81,$A13,'Raw Data'!S$2:S$81,"Stage 3"))/D13)</f>
        <v>0</v>
      </c>
      <c r="I13" s="39">
        <f>IF(B13=0,"-",AVERAGEIFS('Raw Data'!P$2:P$81,'Raw Data'!H$2:H$81,$A13))</f>
        <v>5.5</v>
      </c>
      <c r="J13" s="33">
        <f>COUNTIFS('Raw Data'!H$2:H$81,$A13,'Raw Data'!Z$2:Z$81,"Yes")</f>
        <v>0</v>
      </c>
    </row>
    <row r="14" spans="1:10" x14ac:dyDescent="0.2">
      <c r="A14" s="32" t="s">
        <v>234</v>
      </c>
      <c r="B14" s="33">
        <f>COUNTIFS('Raw Data'!H$2:H$81,$A14)</f>
        <v>3</v>
      </c>
      <c r="C14" s="37">
        <f>SUMIFS('Raw Data'!J$2:J$81,'Raw Data'!H$2:H$81,$A14)</f>
        <v>26.259999999999998</v>
      </c>
      <c r="D14" s="37">
        <f>SUMIFS('Raw Data'!K$2:K$81,'Raw Data'!H$2:H$81,$A14)</f>
        <v>20.52</v>
      </c>
      <c r="E14" s="35">
        <f>D14/SUM('Raw Data'!K$2:K$81)</f>
        <v>1.318520327188377E-2</v>
      </c>
      <c r="F14" s="34">
        <f>IF(B14=0,"-",AVERAGEIFS('Raw Data'!M$2:M$81,'Raw Data'!H$2:H$81,$A14))</f>
        <v>221.33333333333334</v>
      </c>
      <c r="G14" s="35">
        <f t="shared" si="0"/>
        <v>0.78141660319878148</v>
      </c>
      <c r="H14" s="35">
        <f>IF(D14=0,"-",(SUMIFS('Raw Data'!K$2:K$81,'Raw Data'!H$2:H$81,$A14,'Raw Data'!S$2:S$81,"Stage 2")+SUMIFS('Raw Data'!K$2:K$81,'Raw Data'!H$2:H$81,$A14,'Raw Data'!S$2:S$81,"Stage 3"))/D14)</f>
        <v>0</v>
      </c>
      <c r="I14" s="39">
        <f>IF(B14=0,"-",AVERAGEIFS('Raw Data'!P$2:P$81,'Raw Data'!H$2:H$81,$A14))</f>
        <v>5.666666666666667</v>
      </c>
      <c r="J14" s="33">
        <f>COUNTIFS('Raw Data'!H$2:H$81,$A14,'Raw Data'!Z$2:Z$81,"Yes")</f>
        <v>0</v>
      </c>
    </row>
    <row r="15" spans="1:10" x14ac:dyDescent="0.2">
      <c r="A15" s="40" t="s">
        <v>313</v>
      </c>
      <c r="B15" s="41">
        <f>SUM(B4:B14)</f>
        <v>80</v>
      </c>
      <c r="C15" s="43">
        <f>SUM(C4:C14)</f>
        <v>1899.8200000000002</v>
      </c>
      <c r="D15" s="43">
        <f>SUM(D4:D14)</f>
        <v>1556.2900000000002</v>
      </c>
      <c r="E15" s="44">
        <f>SUM(E4:E14)</f>
        <v>0.99999999999999967</v>
      </c>
      <c r="F15" s="42">
        <f>AVERAGE('Raw Data'!M2:M81)</f>
        <v>125.125</v>
      </c>
      <c r="G15" s="44">
        <f>D15/C15</f>
        <v>0.81917760629954417</v>
      </c>
      <c r="H15" s="44">
        <f>(SUMIFS('Raw Data'!K2:K81,'Raw Data'!S2:S81,"Stage 2")+SUMIFS('Raw Data'!K2:K81,'Raw Data'!S2:S81,"Stage 3"))/SUM('Raw Data'!K2:K81)</f>
        <v>0.11643716788002234</v>
      </c>
      <c r="I15" s="45">
        <f>AVERAGE('Raw Data'!P2:P81)</f>
        <v>4.9375</v>
      </c>
      <c r="J15" s="41">
        <f>SUM(J4:J14)</f>
        <v>9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4F38-8B91-9242-BA66-D42A0E8DAAAC}">
  <dimension ref="A1:J20"/>
  <sheetViews>
    <sheetView zoomScale="130" zoomScaleNormal="130" workbookViewId="0">
      <selection activeCell="B19" sqref="B19"/>
    </sheetView>
  </sheetViews>
  <sheetFormatPr baseColWidth="10" defaultRowHeight="16" x14ac:dyDescent="0.2"/>
  <cols>
    <col min="1" max="1" width="33.33203125" customWidth="1"/>
    <col min="2" max="10" width="20" customWidth="1"/>
  </cols>
  <sheetData>
    <row r="1" spans="1:10" ht="35" customHeight="1" x14ac:dyDescent="0.25">
      <c r="A1" s="135" t="s">
        <v>535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22" customHeight="1" x14ac:dyDescent="0.2">
      <c r="A2" s="128" t="s">
        <v>536</v>
      </c>
      <c r="B2" s="128"/>
      <c r="C2" s="128"/>
      <c r="D2" s="128"/>
      <c r="E2" s="128"/>
      <c r="F2" s="128"/>
      <c r="G2" s="128"/>
      <c r="H2" s="128"/>
      <c r="I2" s="128"/>
      <c r="J2" s="128"/>
    </row>
    <row r="4" spans="1:10" x14ac:dyDescent="0.2">
      <c r="A4" s="103" t="s">
        <v>537</v>
      </c>
      <c r="B4" s="29"/>
      <c r="C4" s="29"/>
      <c r="D4" s="29"/>
      <c r="E4" s="29"/>
      <c r="F4" s="29"/>
      <c r="G4" s="29"/>
      <c r="H4" s="29"/>
      <c r="I4" s="29"/>
      <c r="J4" s="29"/>
    </row>
    <row r="5" spans="1:10" x14ac:dyDescent="0.2">
      <c r="A5" s="185" t="s">
        <v>329</v>
      </c>
      <c r="B5" s="186" t="s">
        <v>538</v>
      </c>
      <c r="C5" s="186" t="s">
        <v>376</v>
      </c>
      <c r="D5" s="187" t="s">
        <v>539</v>
      </c>
      <c r="E5" s="187" t="s">
        <v>377</v>
      </c>
      <c r="F5" s="188" t="s">
        <v>540</v>
      </c>
      <c r="G5" s="188" t="s">
        <v>378</v>
      </c>
      <c r="H5" s="189" t="s">
        <v>309</v>
      </c>
      <c r="I5" s="189" t="s">
        <v>541</v>
      </c>
      <c r="J5" s="190" t="s">
        <v>339</v>
      </c>
    </row>
    <row r="6" spans="1:10" x14ac:dyDescent="0.2">
      <c r="A6" s="191" t="s">
        <v>330</v>
      </c>
      <c r="B6" s="192">
        <f>COUNTIFS('Raw Data'!B$2:B$81,$A6,'Raw Data'!S$2:S$81,"Stage 1")</f>
        <v>28</v>
      </c>
      <c r="C6" s="193">
        <f>SUMIFS('Raw Data'!K$2:K$81,'Raw Data'!B$2:B$81,$A6,'Raw Data'!S$2:S$81,"Stage 1")</f>
        <v>556.02</v>
      </c>
      <c r="D6" s="192">
        <f>COUNTIFS('Raw Data'!B$2:B$81,$A6,'Raw Data'!S$2:S$81,"Stage 2")</f>
        <v>1</v>
      </c>
      <c r="E6" s="193">
        <f>SUMIFS('Raw Data'!K$2:K$81,'Raw Data'!B$2:B$81,$A6,'Raw Data'!S$2:S$81,"Stage 2")</f>
        <v>2.0699999999999998</v>
      </c>
      <c r="F6" s="192">
        <f>COUNTIFS('Raw Data'!B$2:B$81,$A6,'Raw Data'!S$2:S$81,"Stage 3")</f>
        <v>0</v>
      </c>
      <c r="G6" s="193">
        <f>SUMIFS('Raw Data'!K$2:K$81,'Raw Data'!B$2:B$81,$A6,'Raw Data'!S$2:S$81,"Stage 3")</f>
        <v>0</v>
      </c>
      <c r="H6" s="194">
        <f>IF(SUMIFS('Raw Data'!K$2:K$81,'Raw Data'!B$2:B$81,$A6)=0,"-",(E6+G6)/SUMIFS('Raw Data'!K$2:K$81,'Raw Data'!B$2:B$81,$A6))</f>
        <v>3.7090791807772934E-3</v>
      </c>
      <c r="I6" s="195">
        <f>IF(SUMIFS('Raw Data'!K$2:K$81,'Raw Data'!B$2:B$81,$A6)=0,"-",SUMIFS('Raw Data'!U$2:U$81,'Raw Data'!B$2:B$81,$A6)/SUMIFS('Raw Data'!K$2:K$81,'Raw Data'!B$2:B$81,$A6))</f>
        <v>1.3564120482359474E-2</v>
      </c>
      <c r="J6" s="196" t="str">
        <f>IF(H6="-","🟢 Green",IF(H6&gt;=0.15,"🔴 Red",IF(H6&gt;=0.08,"🟡 Amber","🟢 Green")))</f>
        <v>🟢 Green</v>
      </c>
    </row>
    <row r="7" spans="1:10" x14ac:dyDescent="0.2">
      <c r="A7" s="191" t="s">
        <v>331</v>
      </c>
      <c r="B7" s="192">
        <f>COUNTIFS('Raw Data'!B$2:B$81,$A7,'Raw Data'!S$2:S$81,"Stage 1")</f>
        <v>10</v>
      </c>
      <c r="C7" s="193">
        <f>SUMIFS('Raw Data'!K$2:K$81,'Raw Data'!B$2:B$81,$A7,'Raw Data'!S$2:S$81,"Stage 1")</f>
        <v>188.19</v>
      </c>
      <c r="D7" s="192">
        <f>COUNTIFS('Raw Data'!B$2:B$81,$A7,'Raw Data'!S$2:S$81,"Stage 2")</f>
        <v>1</v>
      </c>
      <c r="E7" s="193">
        <f>SUMIFS('Raw Data'!K$2:K$81,'Raw Data'!B$2:B$81,$A7,'Raw Data'!S$2:S$81,"Stage 2")</f>
        <v>6.51</v>
      </c>
      <c r="F7" s="192">
        <f>COUNTIFS('Raw Data'!B$2:B$81,$A7,'Raw Data'!S$2:S$81,"Stage 3")</f>
        <v>1</v>
      </c>
      <c r="G7" s="193">
        <f>SUMIFS('Raw Data'!K$2:K$81,'Raw Data'!B$2:B$81,$A7,'Raw Data'!S$2:S$81,"Stage 3")</f>
        <v>3.59</v>
      </c>
      <c r="H7" s="194">
        <f>IF(SUMIFS('Raw Data'!K$2:K$81,'Raw Data'!B$2:B$81,$A7)=0,"-",(E7+G7)/SUMIFS('Raw Data'!K$2:K$81,'Raw Data'!B$2:B$81,$A7))</f>
        <v>5.0935498512279992E-2</v>
      </c>
      <c r="I7" s="195">
        <f>IF(SUMIFS('Raw Data'!K$2:K$81,'Raw Data'!B$2:B$81,$A7)=0,"-",SUMIFS('Raw Data'!U$2:U$81,'Raw Data'!B$2:B$81,$A7)/SUMIFS('Raw Data'!K$2:K$81,'Raw Data'!B$2:B$81,$A7))</f>
        <v>2.3753088910182057E-2</v>
      </c>
      <c r="J7" s="196" t="str">
        <f t="shared" ref="J7:J10" si="0">IF(H7="-","🟢 Green",IF(H7&gt;=0.15,"🔴 Red",IF(H7&gt;=0.08,"🟡 Amber","🟢 Green")))</f>
        <v>🟢 Green</v>
      </c>
    </row>
    <row r="8" spans="1:10" x14ac:dyDescent="0.2">
      <c r="A8" s="191" t="s">
        <v>333</v>
      </c>
      <c r="B8" s="192">
        <f>COUNTIFS('Raw Data'!B$2:B$81,$A8,'Raw Data'!S$2:S$81,"Stage 1")</f>
        <v>14</v>
      </c>
      <c r="C8" s="193">
        <f>SUMIFS('Raw Data'!K$2:K$81,'Raw Data'!B$2:B$81,$A8,'Raw Data'!S$2:S$81,"Stage 1")</f>
        <v>288.43</v>
      </c>
      <c r="D8" s="192">
        <f>COUNTIFS('Raw Data'!B$2:B$81,$A8,'Raw Data'!S$2:S$81,"Stage 2")</f>
        <v>5</v>
      </c>
      <c r="E8" s="193">
        <f>SUMIFS('Raw Data'!K$2:K$81,'Raw Data'!B$2:B$81,$A8,'Raw Data'!S$2:S$81,"Stage 2")</f>
        <v>145.14000000000001</v>
      </c>
      <c r="F8" s="192">
        <f>COUNTIFS('Raw Data'!B$2:B$81,$A8,'Raw Data'!S$2:S$81,"Stage 3")</f>
        <v>0</v>
      </c>
      <c r="G8" s="193">
        <f>SUMIFS('Raw Data'!K$2:K$81,'Raw Data'!B$2:B$81,$A8,'Raw Data'!S$2:S$81,"Stage 3")</f>
        <v>0</v>
      </c>
      <c r="H8" s="194">
        <f>IF(SUMIFS('Raw Data'!K$2:K$81,'Raw Data'!B$2:B$81,$A8)=0,"-",(E8+G8)/SUMIFS('Raw Data'!K$2:K$81,'Raw Data'!B$2:B$81,$A8))</f>
        <v>0.33475563346172477</v>
      </c>
      <c r="I8" s="195">
        <f>IF(SUMIFS('Raw Data'!K$2:K$81,'Raw Data'!B$2:B$81,$A8)=0,"-",SUMIFS('Raw Data'!U$2:U$81,'Raw Data'!B$2:B$81,$A8)/SUMIFS('Raw Data'!K$2:K$81,'Raw Data'!B$2:B$81,$A8))</f>
        <v>3.6856793597342993E-2</v>
      </c>
      <c r="J8" s="196" t="str">
        <f t="shared" si="0"/>
        <v>🔴 Red</v>
      </c>
    </row>
    <row r="9" spans="1:10" x14ac:dyDescent="0.2">
      <c r="A9" s="191" t="s">
        <v>332</v>
      </c>
      <c r="B9" s="192">
        <f>COUNTIFS('Raw Data'!B$2:B$81,$A9,'Raw Data'!S$2:S$81,"Stage 1")</f>
        <v>17</v>
      </c>
      <c r="C9" s="193">
        <f>SUMIFS('Raw Data'!K$2:K$81,'Raw Data'!B$2:B$81,$A9,'Raw Data'!S$2:S$81,"Stage 1")</f>
        <v>309.75000000000006</v>
      </c>
      <c r="D9" s="192">
        <f>COUNTIFS('Raw Data'!B$2:B$81,$A9,'Raw Data'!S$2:S$81,"Stage 2")</f>
        <v>1</v>
      </c>
      <c r="E9" s="193">
        <f>SUMIFS('Raw Data'!K$2:K$81,'Raw Data'!B$2:B$81,$A9,'Raw Data'!S$2:S$81,"Stage 2")</f>
        <v>23.9</v>
      </c>
      <c r="F9" s="192">
        <f>COUNTIFS('Raw Data'!B$2:B$81,$A9,'Raw Data'!S$2:S$81,"Stage 3")</f>
        <v>0</v>
      </c>
      <c r="G9" s="193">
        <f>SUMIFS('Raw Data'!K$2:K$81,'Raw Data'!B$2:B$81,$A9,'Raw Data'!S$2:S$81,"Stage 3")</f>
        <v>0</v>
      </c>
      <c r="H9" s="194">
        <f>IF(SUMIFS('Raw Data'!K$2:K$81,'Raw Data'!B$2:B$81,$A9)=0,"-",(E9+G9)/SUMIFS('Raw Data'!K$2:K$81,'Raw Data'!B$2:B$81,$A9))</f>
        <v>7.163194964783455E-2</v>
      </c>
      <c r="I9" s="195">
        <f>IF(SUMIFS('Raw Data'!K$2:K$81,'Raw Data'!B$2:B$81,$A9)=0,"-",SUMIFS('Raw Data'!U$2:U$81,'Raw Data'!B$2:B$81,$A9)/SUMIFS('Raw Data'!K$2:K$81,'Raw Data'!B$2:B$81,$A9))</f>
        <v>1.9121834257455419E-2</v>
      </c>
      <c r="J9" s="196" t="str">
        <f t="shared" si="0"/>
        <v>🟢 Green</v>
      </c>
    </row>
    <row r="10" spans="1:10" x14ac:dyDescent="0.2">
      <c r="A10" s="191" t="s">
        <v>334</v>
      </c>
      <c r="B10" s="192">
        <f>COUNTIFS('Raw Data'!B$2:B$81,$A10,'Raw Data'!S$2:S$81,"Stage 1")</f>
        <v>2</v>
      </c>
      <c r="C10" s="193">
        <f>SUMIFS('Raw Data'!K$2:K$81,'Raw Data'!B$2:B$81,$A10,'Raw Data'!S$2:S$81,"Stage 1")</f>
        <v>32.69</v>
      </c>
      <c r="D10" s="192">
        <f>COUNTIFS('Raw Data'!B$2:B$81,$A10,'Raw Data'!S$2:S$81,"Stage 2")</f>
        <v>0</v>
      </c>
      <c r="E10" s="193">
        <f>SUMIFS('Raw Data'!K$2:K$81,'Raw Data'!B$2:B$81,$A10,'Raw Data'!S$2:S$81,"Stage 2")</f>
        <v>0</v>
      </c>
      <c r="F10" s="192">
        <f>COUNTIFS('Raw Data'!B$2:B$81,$A10,'Raw Data'!S$2:S$81,"Stage 3")</f>
        <v>0</v>
      </c>
      <c r="G10" s="193">
        <f>SUMIFS('Raw Data'!K$2:K$81,'Raw Data'!B$2:B$81,$A10,'Raw Data'!S$2:S$81,"Stage 3")</f>
        <v>0</v>
      </c>
      <c r="H10" s="194">
        <f>IF(SUMIFS('Raw Data'!K$2:K$81,'Raw Data'!B$2:B$81,$A10)=0,"-",(E10+G10)/SUMIFS('Raw Data'!K$2:K$81,'Raw Data'!B$2:B$81,$A10))</f>
        <v>0</v>
      </c>
      <c r="I10" s="195">
        <f>IF(SUMIFS('Raw Data'!K$2:K$81,'Raw Data'!B$2:B$81,$A10)=0,"-",SUMIFS('Raw Data'!U$2:U$81,'Raw Data'!B$2:B$81,$A10)/SUMIFS('Raw Data'!K$2:K$81,'Raw Data'!B$2:B$81,$A10))</f>
        <v>6.7298868155399221E-3</v>
      </c>
      <c r="J10" s="196" t="str">
        <f t="shared" si="0"/>
        <v>🟢 Green</v>
      </c>
    </row>
    <row r="11" spans="1:10" x14ac:dyDescent="0.2">
      <c r="A11" s="197" t="s">
        <v>356</v>
      </c>
      <c r="B11" s="198">
        <f>SUM(B6:B10)</f>
        <v>71</v>
      </c>
      <c r="C11" s="199">
        <f>SUM(C6:C10)</f>
        <v>1375.0800000000002</v>
      </c>
      <c r="D11" s="198">
        <f>SUM(D6:D10)</f>
        <v>8</v>
      </c>
      <c r="E11" s="199">
        <f>SUM(E6:E10)</f>
        <v>177.62000000000003</v>
      </c>
      <c r="F11" s="198">
        <f>SUM(F6:F10)</f>
        <v>1</v>
      </c>
      <c r="G11" s="199">
        <f>SUM(G6:G10)</f>
        <v>3.59</v>
      </c>
      <c r="H11" s="200">
        <f>(E11+G11)/(C11+E11+G11)</f>
        <v>0.11643716788002237</v>
      </c>
      <c r="I11" s="200">
        <f>SUM('Raw Data'!U2:U81)/SUM('Raw Data'!K2:K81)</f>
        <v>2.2399424271825938E-2</v>
      </c>
      <c r="J11" s="201"/>
    </row>
    <row r="13" spans="1:10" x14ac:dyDescent="0.2">
      <c r="A13" s="103" t="s">
        <v>320</v>
      </c>
      <c r="B13" s="29"/>
      <c r="C13" s="29"/>
      <c r="D13" s="29"/>
      <c r="E13" s="29"/>
      <c r="F13" s="29"/>
      <c r="G13" s="29"/>
      <c r="H13" s="29"/>
      <c r="I13" s="29"/>
      <c r="J13" s="29"/>
    </row>
    <row r="14" spans="1:10" x14ac:dyDescent="0.2">
      <c r="A14" s="185" t="s">
        <v>542</v>
      </c>
      <c r="B14" s="189" t="s">
        <v>543</v>
      </c>
      <c r="C14" s="189" t="s">
        <v>346</v>
      </c>
      <c r="D14" s="189" t="s">
        <v>9</v>
      </c>
      <c r="E14" s="189" t="s">
        <v>315</v>
      </c>
      <c r="F14" s="190" t="s">
        <v>544</v>
      </c>
    </row>
    <row r="15" spans="1:10" x14ac:dyDescent="0.2">
      <c r="A15" s="202" t="s">
        <v>545</v>
      </c>
      <c r="B15" s="192" t="s">
        <v>546</v>
      </c>
      <c r="C15" s="192">
        <f>COUNTIFS('Raw Data'!P$2:P$81,"&lt;="&amp;2)</f>
        <v>5</v>
      </c>
      <c r="D15" s="193" cm="1">
        <f t="array" ref="D15">SUMPRODUCT(('Raw Data'!P$2:P$81&lt;=2)*('Raw Data'!K$2:K$81))</f>
        <v>94.110000000000014</v>
      </c>
      <c r="E15" s="195">
        <f>D15/SUM('Raw Data'!K$2:K$81)</f>
        <v>6.0470734888741808E-2</v>
      </c>
      <c r="F15" s="203">
        <f>IF(C15=0,"-",AVERAGEIFS('Raw Data'!T$2:T$81,'Raw Data'!P$2:P$81,"&lt;="&amp;2))</f>
        <v>1.2320000000000001E-2</v>
      </c>
    </row>
    <row r="16" spans="1:10" x14ac:dyDescent="0.2">
      <c r="A16" s="202" t="s">
        <v>547</v>
      </c>
      <c r="B16" s="192" t="s">
        <v>548</v>
      </c>
      <c r="C16" s="192">
        <f>COUNTIFS('Raw Data'!P$2:P$81,"&gt;"&amp;2,'Raw Data'!P$2:P$81,"&lt;="&amp;4)</f>
        <v>30</v>
      </c>
      <c r="D16" s="193" cm="1">
        <f t="array" ref="D16">SUMPRODUCT(('Raw Data'!P$2:P$81&gt;2)*('Raw Data'!P$2:P$81&lt;=4)*('Raw Data'!K$2:K$81))</f>
        <v>614.69999999999993</v>
      </c>
      <c r="E16" s="195">
        <f>D16/SUM('Raw Data'!K$2:K$81)</f>
        <v>0.39497779976739539</v>
      </c>
      <c r="F16" s="203">
        <f>IF(C16=0,"-",AVERAGEIFS('Raw Data'!T$2:T$81,'Raw Data'!P$2:P$81,"&gt;"&amp;2,'Raw Data'!P$2:P$81,"&lt;="&amp;4))</f>
        <v>1.3470000000000001E-2</v>
      </c>
    </row>
    <row r="17" spans="1:6" x14ac:dyDescent="0.2">
      <c r="A17" s="204" t="s">
        <v>549</v>
      </c>
      <c r="B17" s="192" t="s">
        <v>550</v>
      </c>
      <c r="C17" s="192">
        <f>COUNTIFS('Raw Data'!P$2:P$81,"&gt;"&amp;4,'Raw Data'!P$2:P$81,"&lt;="&amp;6)</f>
        <v>30</v>
      </c>
      <c r="D17" s="193" cm="1">
        <f t="array" ref="D17">SUMPRODUCT(('Raw Data'!P$2:P$81&gt;4)*('Raw Data'!P$2:P$81&lt;=6)*('Raw Data'!K$2:K$81))</f>
        <v>585.08000000000004</v>
      </c>
      <c r="E17" s="195">
        <f>D17/SUM('Raw Data'!K$2:K$81)</f>
        <v>0.37594535722776595</v>
      </c>
      <c r="F17" s="203">
        <f>IF(C17=0,"-",AVERAGEIFS('Raw Data'!T$2:T$81,'Raw Data'!P$2:P$81,"&gt;"&amp;4,'Raw Data'!P$2:P$81,"&lt;="&amp;6))</f>
        <v>1.1663333333333333E-2</v>
      </c>
    </row>
    <row r="18" spans="1:6" x14ac:dyDescent="0.2">
      <c r="A18" s="205" t="s">
        <v>551</v>
      </c>
      <c r="B18" s="192" t="s">
        <v>552</v>
      </c>
      <c r="C18" s="192">
        <f>COUNTIFS('Raw Data'!P$2:P$81,"&gt;"&amp;6,'Raw Data'!P$2:P$81,"&lt;="&amp;8)</f>
        <v>12</v>
      </c>
      <c r="D18" s="193" cm="1">
        <f t="array" ref="D18">SUMPRODUCT(('Raw Data'!P$2:P$81&gt;6)*('Raw Data'!P$2:P$81&lt;=8)*('Raw Data'!K$2:K$81))</f>
        <v>193.8</v>
      </c>
      <c r="E18" s="195">
        <f>D18/SUM('Raw Data'!K$2:K$81)</f>
        <v>0.1245269197900134</v>
      </c>
      <c r="F18" s="203">
        <f>IF(C18=0,"-",AVERAGEIFS('Raw Data'!T$2:T$81,'Raw Data'!P$2:P$81,"&gt;"&amp;6,'Raw Data'!P$2:P$81,"&lt;="&amp;8))</f>
        <v>5.6908333333333332E-2</v>
      </c>
    </row>
    <row r="19" spans="1:6" x14ac:dyDescent="0.2">
      <c r="A19" s="206" t="s">
        <v>553</v>
      </c>
      <c r="B19" s="192" t="s">
        <v>554</v>
      </c>
      <c r="C19" s="192">
        <f>COUNTIFS('Raw Data'!P$2:P$81,"&gt;"&amp;8)</f>
        <v>3</v>
      </c>
      <c r="D19" s="193" cm="1">
        <f t="array" ref="D19">SUMPRODUCT(('Raw Data'!P$2:P$81&gt;8)*('Raw Data'!K$2:K$81))</f>
        <v>68.600000000000009</v>
      </c>
      <c r="E19" s="195">
        <f>D19/SUM('Raw Data'!K$2:K$81)</f>
        <v>4.407918832608318E-2</v>
      </c>
      <c r="F19" s="203">
        <f>IF(C19=0,"-",AVERAGEIFS('Raw Data'!T$2:T$81,'Raw Data'!P$2:P$81,"&gt;"&amp;8))</f>
        <v>0.18379999999999999</v>
      </c>
    </row>
    <row r="20" spans="1:6" x14ac:dyDescent="0.2">
      <c r="A20" s="197" t="s">
        <v>313</v>
      </c>
      <c r="B20" s="207"/>
      <c r="C20" s="198">
        <f>SUM(C15:C19)</f>
        <v>80</v>
      </c>
      <c r="D20" s="199">
        <f>SUM(D15:D19)</f>
        <v>1556.2899999999997</v>
      </c>
      <c r="E20" s="200">
        <f>SUM(E15:E19)</f>
        <v>0.99999999999999978</v>
      </c>
      <c r="F20" s="208">
        <f>AVERAGE('Raw Data'!T2:T81)</f>
        <v>2.5623749999999994E-2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DB33-BCE2-0341-8385-C5B5998EDD61}">
  <dimension ref="A1:J33"/>
  <sheetViews>
    <sheetView zoomScale="150" zoomScaleNormal="150" workbookViewId="0">
      <selection activeCell="F20" sqref="F20"/>
    </sheetView>
  </sheetViews>
  <sheetFormatPr baseColWidth="10" defaultRowHeight="16" x14ac:dyDescent="0.2"/>
  <cols>
    <col min="1" max="1" width="33.33203125" customWidth="1"/>
    <col min="2" max="8" width="20" customWidth="1"/>
  </cols>
  <sheetData>
    <row r="1" spans="1:10" ht="35" customHeight="1" x14ac:dyDescent="0.25">
      <c r="A1" s="135" t="s">
        <v>555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22" customHeight="1" x14ac:dyDescent="0.2">
      <c r="A2" s="128" t="s">
        <v>556</v>
      </c>
      <c r="B2" s="128"/>
      <c r="C2" s="128"/>
      <c r="D2" s="128"/>
      <c r="E2" s="128"/>
      <c r="F2" s="128"/>
      <c r="G2" s="128"/>
      <c r="H2" s="128"/>
      <c r="I2" s="128"/>
      <c r="J2" s="128"/>
    </row>
    <row r="4" spans="1:10" x14ac:dyDescent="0.2">
      <c r="A4" s="103" t="s">
        <v>590</v>
      </c>
      <c r="B4" s="29"/>
      <c r="C4" s="29"/>
      <c r="D4" s="29"/>
      <c r="E4" s="29"/>
      <c r="F4" s="29"/>
      <c r="G4" s="29"/>
      <c r="H4" s="29"/>
    </row>
    <row r="5" spans="1:10" x14ac:dyDescent="0.2">
      <c r="A5" s="185" t="s">
        <v>322</v>
      </c>
      <c r="B5" s="189" t="s">
        <v>1</v>
      </c>
      <c r="C5" s="189" t="s">
        <v>329</v>
      </c>
      <c r="D5" s="189" t="s">
        <v>346</v>
      </c>
      <c r="E5" s="189" t="s">
        <v>9</v>
      </c>
      <c r="F5" s="189" t="s">
        <v>315</v>
      </c>
      <c r="G5" s="189" t="s">
        <v>557</v>
      </c>
      <c r="H5" s="190" t="s">
        <v>558</v>
      </c>
    </row>
    <row r="6" spans="1:10" x14ac:dyDescent="0.2">
      <c r="A6" s="209">
        <v>1</v>
      </c>
      <c r="B6" s="210" t="s">
        <v>119</v>
      </c>
      <c r="C6" s="211" t="s">
        <v>559</v>
      </c>
      <c r="D6" s="192">
        <f>COUNTIF('Raw Data'!C$2:C$81,B6)</f>
        <v>3</v>
      </c>
      <c r="E6" s="193">
        <f>SUMIF('Raw Data'!C$2:C$81,B6,'Raw Data'!K$2:K$81)</f>
        <v>40.989999999999995</v>
      </c>
      <c r="F6" s="195">
        <f>E6/SUM('Raw Data'!K$2:K$81)</f>
        <v>2.6338278855483222E-2</v>
      </c>
      <c r="G6" s="212">
        <f>AVERAGEIF('Raw Data'!C$2:C$81,B6,'Raw Data'!P$2:P$81)</f>
        <v>4</v>
      </c>
      <c r="H6" s="213">
        <f>COUNTIFS('Raw Data'!C$2:C$81,B6,'Raw Data'!Z$2:Z$81,"Yes")</f>
        <v>0</v>
      </c>
    </row>
    <row r="7" spans="1:10" x14ac:dyDescent="0.2">
      <c r="A7" s="209">
        <v>2</v>
      </c>
      <c r="B7" s="210" t="s">
        <v>160</v>
      </c>
      <c r="C7" s="211" t="s">
        <v>559</v>
      </c>
      <c r="D7" s="192">
        <f>COUNTIF('Raw Data'!C$2:C$81,B7)</f>
        <v>3</v>
      </c>
      <c r="E7" s="193">
        <f>SUMIF('Raw Data'!C$2:C$81,B7,'Raw Data'!K$2:K$81)</f>
        <v>52.04</v>
      </c>
      <c r="F7" s="195">
        <f>E7/SUM('Raw Data'!K$2:K$81)</f>
        <v>3.3438497966317322E-2</v>
      </c>
      <c r="G7" s="212">
        <f>AVERAGEIF('Raw Data'!C$2:C$81,B7,'Raw Data'!P$2:P$81)</f>
        <v>5.333333333333333</v>
      </c>
      <c r="H7" s="213">
        <f>COUNTIFS('Raw Data'!C$2:C$81,B7,'Raw Data'!Z$2:Z$81,"Yes")</f>
        <v>0</v>
      </c>
    </row>
    <row r="8" spans="1:10" x14ac:dyDescent="0.2">
      <c r="A8" s="209">
        <v>3</v>
      </c>
      <c r="B8" s="210" t="s">
        <v>38</v>
      </c>
      <c r="C8" s="211" t="s">
        <v>330</v>
      </c>
      <c r="D8" s="192">
        <f>COUNTIF('Raw Data'!C$2:C$81,B8)</f>
        <v>2</v>
      </c>
      <c r="E8" s="193">
        <f>SUMIF('Raw Data'!C$2:C$81,B8,'Raw Data'!K$2:K$81)</f>
        <v>31.48</v>
      </c>
      <c r="F8" s="195">
        <f>E8/SUM('Raw Data'!K$2:K$81)</f>
        <v>2.0227592543806096E-2</v>
      </c>
      <c r="G8" s="212">
        <f>AVERAGEIF('Raw Data'!C$2:C$81,B8,'Raw Data'!P$2:P$81)</f>
        <v>4</v>
      </c>
      <c r="H8" s="213">
        <f>COUNTIFS('Raw Data'!C$2:C$81,B8,'Raw Data'!Z$2:Z$81,"Yes")</f>
        <v>0</v>
      </c>
    </row>
    <row r="9" spans="1:10" x14ac:dyDescent="0.2">
      <c r="A9" s="209">
        <v>4</v>
      </c>
      <c r="B9" s="210" t="s">
        <v>61</v>
      </c>
      <c r="C9" s="211" t="s">
        <v>559</v>
      </c>
      <c r="D9" s="192">
        <f>COUNTIF('Raw Data'!C$2:C$81,B9)</f>
        <v>2</v>
      </c>
      <c r="E9" s="193">
        <f>SUMIF('Raw Data'!C$2:C$81,B9,'Raw Data'!K$2:K$81)</f>
        <v>38.33</v>
      </c>
      <c r="F9" s="195">
        <f>E9/SUM('Raw Data'!K$2:K$81)</f>
        <v>2.4629085838757551E-2</v>
      </c>
      <c r="G9" s="212">
        <f>AVERAGEIF('Raw Data'!C$2:C$81,B9,'Raw Data'!P$2:P$81)</f>
        <v>5.5</v>
      </c>
      <c r="H9" s="213">
        <f>COUNTIFS('Raw Data'!C$2:C$81,B9,'Raw Data'!Z$2:Z$81,"Yes")</f>
        <v>0</v>
      </c>
    </row>
    <row r="10" spans="1:10" x14ac:dyDescent="0.2">
      <c r="A10" s="209">
        <v>5</v>
      </c>
      <c r="B10" s="210" t="s">
        <v>89</v>
      </c>
      <c r="C10" s="211" t="s">
        <v>559</v>
      </c>
      <c r="D10" s="192">
        <f>COUNTIF('Raw Data'!C$2:C$81,B10)</f>
        <v>2</v>
      </c>
      <c r="E10" s="193">
        <f>SUMIF('Raw Data'!C$2:C$81,B10,'Raw Data'!K$2:K$81)</f>
        <v>55.22</v>
      </c>
      <c r="F10" s="195">
        <f>E10/SUM('Raw Data'!K$2:K$81)</f>
        <v>3.5481818941199894E-2</v>
      </c>
      <c r="G10" s="212">
        <f>AVERAGEIF('Raw Data'!C$2:C$81,B10,'Raw Data'!P$2:P$81)</f>
        <v>6.5</v>
      </c>
      <c r="H10" s="213">
        <f>COUNTIFS('Raw Data'!C$2:C$81,B10,'Raw Data'!Z$2:Z$81,"Yes")</f>
        <v>0</v>
      </c>
    </row>
    <row r="11" spans="1:10" x14ac:dyDescent="0.2">
      <c r="A11" s="209">
        <v>6</v>
      </c>
      <c r="B11" s="210" t="s">
        <v>97</v>
      </c>
      <c r="C11" s="211" t="s">
        <v>330</v>
      </c>
      <c r="D11" s="192">
        <f>COUNTIF('Raw Data'!C$2:C$81,B11)</f>
        <v>2</v>
      </c>
      <c r="E11" s="193">
        <f>SUMIF('Raw Data'!C$2:C$81,B11,'Raw Data'!K$2:K$81)</f>
        <v>31.759999999999998</v>
      </c>
      <c r="F11" s="195">
        <f>E11/SUM('Raw Data'!K$2:K$81)</f>
        <v>2.0407507598198274E-2</v>
      </c>
      <c r="G11" s="212">
        <f>AVERAGEIF('Raw Data'!C$2:C$81,B11,'Raw Data'!P$2:P$81)</f>
        <v>3</v>
      </c>
      <c r="H11" s="213">
        <f>COUNTIFS('Raw Data'!C$2:C$81,B11,'Raw Data'!Z$2:Z$81,"Yes")</f>
        <v>0</v>
      </c>
    </row>
    <row r="12" spans="1:10" x14ac:dyDescent="0.2">
      <c r="A12" s="209">
        <v>7</v>
      </c>
      <c r="B12" s="210" t="s">
        <v>100</v>
      </c>
      <c r="C12" s="211" t="s">
        <v>559</v>
      </c>
      <c r="D12" s="192">
        <f>COUNTIF('Raw Data'!C$2:C$81,B12)</f>
        <v>2</v>
      </c>
      <c r="E12" s="193">
        <f>SUMIF('Raw Data'!C$2:C$81,B12,'Raw Data'!K$2:K$81)</f>
        <v>53.12</v>
      </c>
      <c r="F12" s="195">
        <f>E12/SUM('Raw Data'!K$2:K$81)</f>
        <v>3.4132456033258575E-2</v>
      </c>
      <c r="G12" s="212">
        <f>AVERAGEIF('Raw Data'!C$2:C$81,B12,'Raw Data'!P$2:P$81)</f>
        <v>4</v>
      </c>
      <c r="H12" s="213">
        <f>COUNTIFS('Raw Data'!C$2:C$81,B12,'Raw Data'!Z$2:Z$81,"Yes")</f>
        <v>0</v>
      </c>
    </row>
    <row r="13" spans="1:10" x14ac:dyDescent="0.2">
      <c r="A13" s="209">
        <v>8</v>
      </c>
      <c r="B13" s="210" t="s">
        <v>103</v>
      </c>
      <c r="C13" s="211" t="s">
        <v>330</v>
      </c>
      <c r="D13" s="192">
        <f>COUNTIF('Raw Data'!C$2:C$81,B13)</f>
        <v>2</v>
      </c>
      <c r="E13" s="193">
        <f>SUMIF('Raw Data'!C$2:C$81,B13,'Raw Data'!K$2:K$81)</f>
        <v>8.4700000000000006</v>
      </c>
      <c r="F13" s="195">
        <f>E13/SUM('Raw Data'!K$2:K$81)</f>
        <v>5.4424303953633313E-3</v>
      </c>
      <c r="G13" s="212">
        <f>AVERAGEIF('Raw Data'!C$2:C$81,B13,'Raw Data'!P$2:P$81)</f>
        <v>5</v>
      </c>
      <c r="H13" s="213">
        <f>COUNTIFS('Raw Data'!C$2:C$81,B13,'Raw Data'!Z$2:Z$81,"Yes")</f>
        <v>0</v>
      </c>
    </row>
    <row r="14" spans="1:10" x14ac:dyDescent="0.2">
      <c r="A14" s="209">
        <v>9</v>
      </c>
      <c r="B14" s="210" t="s">
        <v>123</v>
      </c>
      <c r="C14" s="211" t="s">
        <v>559</v>
      </c>
      <c r="D14" s="192">
        <f>COUNTIF('Raw Data'!C$2:C$81,B14)</f>
        <v>2</v>
      </c>
      <c r="E14" s="193">
        <f>SUMIF('Raw Data'!C$2:C$81,B14,'Raw Data'!K$2:K$81)</f>
        <v>21.6</v>
      </c>
      <c r="F14" s="195">
        <f>E14/SUM('Raw Data'!K$2:K$81)</f>
        <v>1.3879161338825023E-2</v>
      </c>
      <c r="G14" s="212">
        <f>AVERAGEIF('Raw Data'!C$2:C$81,B14,'Raw Data'!P$2:P$81)</f>
        <v>3</v>
      </c>
      <c r="H14" s="213">
        <f>COUNTIFS('Raw Data'!C$2:C$81,B14,'Raw Data'!Z$2:Z$81,"Yes")</f>
        <v>0</v>
      </c>
    </row>
    <row r="15" spans="1:10" x14ac:dyDescent="0.2">
      <c r="A15" s="209">
        <v>10</v>
      </c>
      <c r="B15" s="210" t="s">
        <v>135</v>
      </c>
      <c r="C15" s="211" t="s">
        <v>330</v>
      </c>
      <c r="D15" s="192">
        <f>COUNTIF('Raw Data'!C$2:C$81,B15)</f>
        <v>2</v>
      </c>
      <c r="E15" s="193">
        <f>SUMIF('Raw Data'!C$2:C$81,B15,'Raw Data'!K$2:K$81)</f>
        <v>27.880000000000003</v>
      </c>
      <c r="F15" s="195">
        <f>E15/SUM('Raw Data'!K$2:K$81)</f>
        <v>1.7914398987335264E-2</v>
      </c>
      <c r="G15" s="212">
        <f>AVERAGEIF('Raw Data'!C$2:C$81,B15,'Raw Data'!P$2:P$81)</f>
        <v>5.5</v>
      </c>
      <c r="H15" s="213">
        <f>COUNTIFS('Raw Data'!C$2:C$81,B15,'Raw Data'!Z$2:Z$81,"Yes")</f>
        <v>0</v>
      </c>
    </row>
    <row r="16" spans="1:10" x14ac:dyDescent="0.2">
      <c r="A16" s="197" t="s">
        <v>560</v>
      </c>
      <c r="B16" s="207"/>
      <c r="C16" s="207"/>
      <c r="D16" s="198">
        <f>SUM(D6:D15)</f>
        <v>22</v>
      </c>
      <c r="E16" s="199">
        <f>SUM(E6:E15)</f>
        <v>360.89000000000004</v>
      </c>
      <c r="F16" s="200">
        <f>SUM(F6:F15)</f>
        <v>0.23189122849854457</v>
      </c>
      <c r="G16" s="207"/>
      <c r="H16" s="201"/>
    </row>
    <row r="18" spans="1:6" x14ac:dyDescent="0.2">
      <c r="A18" s="103" t="s">
        <v>323</v>
      </c>
      <c r="B18" s="29"/>
      <c r="C18" s="29"/>
      <c r="D18" s="29"/>
      <c r="E18" s="29"/>
      <c r="F18" s="29"/>
    </row>
    <row r="19" spans="1:6" x14ac:dyDescent="0.2">
      <c r="A19" s="185" t="s">
        <v>4</v>
      </c>
      <c r="B19" s="189" t="s">
        <v>346</v>
      </c>
      <c r="C19" s="189" t="s">
        <v>9</v>
      </c>
      <c r="D19" s="189" t="s">
        <v>315</v>
      </c>
      <c r="E19" s="189" t="s">
        <v>561</v>
      </c>
      <c r="F19" s="190" t="s">
        <v>339</v>
      </c>
    </row>
    <row r="20" spans="1:6" x14ac:dyDescent="0.2">
      <c r="A20" s="214" t="s">
        <v>84</v>
      </c>
      <c r="B20" s="192">
        <f>COUNTIF('Raw Data'!F$2:F$81,$A20)</f>
        <v>18</v>
      </c>
      <c r="C20" s="193">
        <f>SUMIF('Raw Data'!F$2:F$81,$A20,'Raw Data'!K$2:K$81)</f>
        <v>398.25000000000006</v>
      </c>
      <c r="D20" s="195">
        <f>C20/SUM('Raw Data'!K$2:K$81)</f>
        <v>0.2558970371845864</v>
      </c>
      <c r="E20" s="193">
        <f>SUM('Raw Data'!K$2:K$81)*0.25</f>
        <v>389.0725000000001</v>
      </c>
      <c r="F20" s="196" t="str">
        <f>IF(D20&gt;0.25,"🔴 Breach",IF(D20&gt;0.2,"🟡 Warning","🟢 OK"))</f>
        <v>🔴 Breach</v>
      </c>
    </row>
    <row r="21" spans="1:6" x14ac:dyDescent="0.2">
      <c r="A21" s="214" t="s">
        <v>29</v>
      </c>
      <c r="B21" s="192">
        <f>COUNTIF('Raw Data'!F$2:F$81,$A21)</f>
        <v>16</v>
      </c>
      <c r="C21" s="193">
        <f>SUMIF('Raw Data'!F$2:F$81,$A21,'Raw Data'!K$2:K$81)</f>
        <v>306.63999999999993</v>
      </c>
      <c r="D21" s="195">
        <f>C21/SUM('Raw Data'!K$2:K$81)</f>
        <v>0.19703268671006036</v>
      </c>
      <c r="E21" s="193">
        <f>SUM('Raw Data'!K$2:K$81)*0.25</f>
        <v>389.0725000000001</v>
      </c>
      <c r="F21" s="196" t="str">
        <f t="shared" ref="F21:F32" si="0">IF(D21&gt;0.25,"🔴 Breach",IF(D21&gt;0.2,"🟡 Warning","🟢 OK"))</f>
        <v>🟢 OK</v>
      </c>
    </row>
    <row r="22" spans="1:6" x14ac:dyDescent="0.2">
      <c r="A22" s="214" t="s">
        <v>55</v>
      </c>
      <c r="B22" s="192">
        <f>COUNTIF('Raw Data'!F$2:F$81,$A22)</f>
        <v>10</v>
      </c>
      <c r="C22" s="193">
        <f>SUMIF('Raw Data'!F$2:F$81,$A22,'Raw Data'!K$2:K$81)</f>
        <v>232.96999999999997</v>
      </c>
      <c r="D22" s="195">
        <f>C22/SUM('Raw Data'!K$2:K$81)</f>
        <v>0.14969575079194747</v>
      </c>
      <c r="E22" s="193">
        <f>SUM('Raw Data'!K$2:K$81)*0.25</f>
        <v>389.0725000000001</v>
      </c>
      <c r="F22" s="196" t="str">
        <f t="shared" si="0"/>
        <v>🟢 OK</v>
      </c>
    </row>
    <row r="23" spans="1:6" x14ac:dyDescent="0.2">
      <c r="A23" s="214" t="s">
        <v>72</v>
      </c>
      <c r="B23" s="192">
        <f>COUNTIF('Raw Data'!F$2:F$81,$A23)</f>
        <v>8</v>
      </c>
      <c r="C23" s="193">
        <f>SUMIF('Raw Data'!F$2:F$81,$A23,'Raw Data'!K$2:K$81)</f>
        <v>111.68999999999998</v>
      </c>
      <c r="D23" s="195">
        <f>C23/SUM('Raw Data'!K$2:K$81)</f>
        <v>7.176683008950771E-2</v>
      </c>
      <c r="E23" s="193">
        <f>SUM('Raw Data'!K$2:K$81)*0.25</f>
        <v>389.0725000000001</v>
      </c>
      <c r="F23" s="196" t="str">
        <f t="shared" si="0"/>
        <v>🟢 OK</v>
      </c>
    </row>
    <row r="24" spans="1:6" x14ac:dyDescent="0.2">
      <c r="A24" s="214" t="s">
        <v>47</v>
      </c>
      <c r="B24" s="192">
        <f>COUNTIF('Raw Data'!F$2:F$81,$A24)</f>
        <v>6</v>
      </c>
      <c r="C24" s="193">
        <f>SUMIF('Raw Data'!F$2:F$81,$A24,'Raw Data'!K$2:K$81)</f>
        <v>145.16999999999999</v>
      </c>
      <c r="D24" s="195">
        <f>C24/SUM('Raw Data'!K$2:K$81)</f>
        <v>9.32795301646865E-2</v>
      </c>
      <c r="E24" s="193">
        <f>SUM('Raw Data'!K$2:K$81)*0.25</f>
        <v>389.0725000000001</v>
      </c>
      <c r="F24" s="196" t="str">
        <f t="shared" si="0"/>
        <v>🟢 OK</v>
      </c>
    </row>
    <row r="25" spans="1:6" x14ac:dyDescent="0.2">
      <c r="A25" s="214" t="s">
        <v>173</v>
      </c>
      <c r="B25" s="192">
        <f>COUNTIF('Raw Data'!F$2:F$81,$A25)</f>
        <v>6</v>
      </c>
      <c r="C25" s="193">
        <f>SUMIF('Raw Data'!F$2:F$81,$A25,'Raw Data'!K$2:K$81)</f>
        <v>104.86</v>
      </c>
      <c r="D25" s="195">
        <f>C25/SUM('Raw Data'!K$2:K$81)</f>
        <v>6.7378187869869988E-2</v>
      </c>
      <c r="E25" s="193">
        <f>SUM('Raw Data'!K$2:K$81)*0.25</f>
        <v>389.0725000000001</v>
      </c>
      <c r="F25" s="196" t="str">
        <f t="shared" si="0"/>
        <v>🟢 OK</v>
      </c>
    </row>
    <row r="26" spans="1:6" x14ac:dyDescent="0.2">
      <c r="A26" s="214" t="s">
        <v>63</v>
      </c>
      <c r="B26" s="192">
        <f>COUNTIF('Raw Data'!F$2:F$81,$A26)</f>
        <v>3</v>
      </c>
      <c r="C26" s="193">
        <f>SUMIF('Raw Data'!F$2:F$81,$A26,'Raw Data'!K$2:K$81)</f>
        <v>77.949999999999989</v>
      </c>
      <c r="D26" s="195">
        <f>C26/SUM('Raw Data'!K$2:K$81)</f>
        <v>5.0087066035250476E-2</v>
      </c>
      <c r="E26" s="193">
        <f>SUM('Raw Data'!K$2:K$81)*0.25</f>
        <v>389.0725000000001</v>
      </c>
      <c r="F26" s="196" t="str">
        <f t="shared" si="0"/>
        <v>🟢 OK</v>
      </c>
    </row>
    <row r="27" spans="1:6" x14ac:dyDescent="0.2">
      <c r="A27" s="214" t="s">
        <v>68</v>
      </c>
      <c r="B27" s="192">
        <f>COUNTIF('Raw Data'!F$2:F$81,$A27)</f>
        <v>3</v>
      </c>
      <c r="C27" s="193">
        <f>SUMIF('Raw Data'!F$2:F$81,$A27,'Raw Data'!K$2:K$81)</f>
        <v>83.240000000000009</v>
      </c>
      <c r="D27" s="195">
        <f>C27/SUM('Raw Data'!K$2:K$81)</f>
        <v>5.3486175455731248E-2</v>
      </c>
      <c r="E27" s="193">
        <f>SUM('Raw Data'!K$2:K$81)*0.25</f>
        <v>389.0725000000001</v>
      </c>
      <c r="F27" s="196" t="str">
        <f t="shared" si="0"/>
        <v>🟢 OK</v>
      </c>
    </row>
    <row r="28" spans="1:6" x14ac:dyDescent="0.2">
      <c r="A28" s="214" t="s">
        <v>166</v>
      </c>
      <c r="B28" s="192">
        <f>COUNTIF('Raw Data'!F$2:F$81,$A28)</f>
        <v>3</v>
      </c>
      <c r="C28" s="193">
        <f>SUMIF('Raw Data'!F$2:F$81,$A28,'Raw Data'!K$2:K$81)</f>
        <v>15.020000000000001</v>
      </c>
      <c r="D28" s="195">
        <f>C28/SUM('Raw Data'!K$2:K$81)</f>
        <v>9.6511575606088827E-3</v>
      </c>
      <c r="E28" s="193">
        <f>SUM('Raw Data'!K$2:K$81)*0.25</f>
        <v>389.0725000000001</v>
      </c>
      <c r="F28" s="196" t="str">
        <f t="shared" si="0"/>
        <v>🟢 OK</v>
      </c>
    </row>
    <row r="29" spans="1:6" x14ac:dyDescent="0.2">
      <c r="A29" s="214" t="s">
        <v>183</v>
      </c>
      <c r="B29" s="192">
        <f>COUNTIF('Raw Data'!F$2:F$81,$A29)</f>
        <v>3</v>
      </c>
      <c r="C29" s="193">
        <f>SUMIF('Raw Data'!F$2:F$81,$A29,'Raw Data'!K$2:K$81)</f>
        <v>17.189999999999998</v>
      </c>
      <c r="D29" s="195">
        <f>C29/SUM('Raw Data'!K$2:K$81)</f>
        <v>1.1045499232148245E-2</v>
      </c>
      <c r="E29" s="193">
        <f>SUM('Raw Data'!K$2:K$81)*0.25</f>
        <v>389.0725000000001</v>
      </c>
      <c r="F29" s="196" t="str">
        <f t="shared" si="0"/>
        <v>🟢 OK</v>
      </c>
    </row>
    <row r="30" spans="1:6" x14ac:dyDescent="0.2">
      <c r="A30" s="214" t="s">
        <v>90</v>
      </c>
      <c r="B30" s="192">
        <f>COUNTIF('Raw Data'!F$2:F$81,$A30)</f>
        <v>2</v>
      </c>
      <c r="C30" s="193">
        <f>SUMIF('Raw Data'!F$2:F$81,$A30,'Raw Data'!K$2:K$81)</f>
        <v>44.96</v>
      </c>
      <c r="D30" s="195">
        <f>C30/SUM('Raw Data'!K$2:K$81)</f>
        <v>2.8889217305258012E-2</v>
      </c>
      <c r="E30" s="193">
        <f>SUM('Raw Data'!K$2:K$81)*0.25</f>
        <v>389.0725000000001</v>
      </c>
      <c r="F30" s="196" t="str">
        <f t="shared" si="0"/>
        <v>🟢 OK</v>
      </c>
    </row>
    <row r="31" spans="1:6" x14ac:dyDescent="0.2">
      <c r="A31" s="214" t="s">
        <v>107</v>
      </c>
      <c r="B31" s="192">
        <f>COUNTIF('Raw Data'!F$2:F$81,$A31)</f>
        <v>1</v>
      </c>
      <c r="C31" s="193">
        <f>SUMIF('Raw Data'!F$2:F$81,$A31,'Raw Data'!K$2:K$81)</f>
        <v>11.38</v>
      </c>
      <c r="D31" s="195">
        <f>C31/SUM('Raw Data'!K$2:K$81)</f>
        <v>7.3122618535105908E-3</v>
      </c>
      <c r="E31" s="193">
        <f>SUM('Raw Data'!K$2:K$81)*0.25</f>
        <v>389.0725000000001</v>
      </c>
      <c r="F31" s="196" t="str">
        <f t="shared" si="0"/>
        <v>🟢 OK</v>
      </c>
    </row>
    <row r="32" spans="1:6" x14ac:dyDescent="0.2">
      <c r="A32" s="214" t="s">
        <v>279</v>
      </c>
      <c r="B32" s="192">
        <f>COUNTIF('Raw Data'!F$2:F$81,$A32)</f>
        <v>1</v>
      </c>
      <c r="C32" s="193">
        <f>SUMIF('Raw Data'!F$2:F$81,$A32,'Raw Data'!K$2:K$81)</f>
        <v>6.97</v>
      </c>
      <c r="D32" s="195">
        <f>C32/SUM('Raw Data'!K$2:K$81)</f>
        <v>4.4785997468338151E-3</v>
      </c>
      <c r="E32" s="193">
        <f>SUM('Raw Data'!K$2:K$81)*0.25</f>
        <v>389.0725000000001</v>
      </c>
      <c r="F32" s="196" t="str">
        <f t="shared" si="0"/>
        <v>🟢 OK</v>
      </c>
    </row>
    <row r="33" spans="1:6" x14ac:dyDescent="0.2">
      <c r="A33" s="197" t="s">
        <v>313</v>
      </c>
      <c r="B33" s="198">
        <f>SUM(B20:B32)</f>
        <v>80</v>
      </c>
      <c r="C33" s="199">
        <f>SUM(C20:C32)</f>
        <v>1556.2900000000002</v>
      </c>
      <c r="D33" s="200">
        <f>SUM(D20:D32)</f>
        <v>0.99999999999999967</v>
      </c>
      <c r="E33" s="207"/>
      <c r="F33" s="201"/>
    </row>
  </sheetData>
  <mergeCells count="2">
    <mergeCell ref="A1:J1"/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146B-0742-EE4F-A685-A03B1B662A6B}">
  <dimension ref="A1:H20"/>
  <sheetViews>
    <sheetView zoomScale="140" zoomScaleNormal="140" workbookViewId="0">
      <selection activeCell="R54" sqref="R54"/>
    </sheetView>
  </sheetViews>
  <sheetFormatPr baseColWidth="10" defaultRowHeight="16" x14ac:dyDescent="0.2"/>
  <cols>
    <col min="1" max="1" width="33.33203125" customWidth="1"/>
    <col min="2" max="9" width="21.6640625" customWidth="1"/>
  </cols>
  <sheetData>
    <row r="1" spans="1:8" ht="30" customHeight="1" x14ac:dyDescent="0.25">
      <c r="A1" s="26" t="s">
        <v>357</v>
      </c>
      <c r="B1" s="27"/>
      <c r="C1" s="27"/>
      <c r="D1" s="27"/>
      <c r="E1" s="27"/>
      <c r="F1" s="27"/>
      <c r="G1" s="27"/>
      <c r="H1" s="27"/>
    </row>
    <row r="2" spans="1:8" ht="22" customHeight="1" x14ac:dyDescent="0.2">
      <c r="A2" s="121" t="s">
        <v>586</v>
      </c>
      <c r="B2" s="28"/>
      <c r="C2" s="28"/>
      <c r="D2" s="28"/>
      <c r="E2" s="28"/>
      <c r="F2" s="28"/>
      <c r="G2" s="28"/>
      <c r="H2" s="28"/>
    </row>
    <row r="4" spans="1:8" x14ac:dyDescent="0.2">
      <c r="A4" s="103" t="s">
        <v>358</v>
      </c>
      <c r="B4" s="29"/>
      <c r="C4" s="29"/>
      <c r="D4" s="29"/>
      <c r="E4" s="29"/>
      <c r="F4" s="29"/>
      <c r="G4" s="29"/>
      <c r="H4" s="29"/>
    </row>
    <row r="5" spans="1:8" x14ac:dyDescent="0.2">
      <c r="A5" s="30" t="s">
        <v>329</v>
      </c>
      <c r="B5" s="30" t="s">
        <v>587</v>
      </c>
      <c r="C5" s="30" t="s">
        <v>359</v>
      </c>
      <c r="D5" s="30" t="s">
        <v>588</v>
      </c>
      <c r="E5" s="30" t="s">
        <v>360</v>
      </c>
      <c r="F5" s="30" t="s">
        <v>361</v>
      </c>
      <c r="G5" s="30" t="s">
        <v>362</v>
      </c>
      <c r="H5" s="30" t="s">
        <v>363</v>
      </c>
    </row>
    <row r="6" spans="1:8" x14ac:dyDescent="0.2">
      <c r="A6" s="32" t="s">
        <v>330</v>
      </c>
      <c r="B6" s="35" cm="1">
        <f t="array" ref="B6">1-SUMPRODUCT(('Raw Data'!B$2:B$81=$A6)*('Raw Data'!R$2:R$81&gt;0)*('Raw Data'!K$2:K$81))/SUMIFS('Raw Data'!K$2:K$81,'Raw Data'!B$2:B$81,$A6)</f>
        <v>0.99629092081922266</v>
      </c>
      <c r="C6" s="35" cm="1">
        <f t="array" ref="C6">IF(SUMIFS('Raw Data'!K$2:K$81,'Raw Data'!B$2:B$81,$A6)=0,"-",SUMPRODUCT(('Raw Data'!B$2:B$81=$A6)*('Raw Data'!R$2:R$81&gt;0)*('Raw Data'!K$2:K$81))/SUMIFS('Raw Data'!K$2:K$81,'Raw Data'!B$2:B$81,$A6))</f>
        <v>3.7090791807772934E-3</v>
      </c>
      <c r="D6" s="134">
        <f>IF(COUNTIFS('Raw Data'!B$2:B$81,$A6,'Raw Data'!R$2:R$81,"&gt;0")=0,"N/A",AVERAGEIFS('Raw Data'!R$2:R$81,'Raw Data'!B$2:B$81,$A6,'Raw Data'!R$2:R$81,"&gt;0"))</f>
        <v>19</v>
      </c>
      <c r="E6" s="35" t="str">
        <f>IF(SUMIFS('Raw Data'!K$2:K$81,'Raw Data'!B$2:B$81,$A6,'Raw Data'!S$2:S$81,"Stage 3")=0,"N/A",SUMIFS('Raw Data'!U$2:U$81,'Raw Data'!B$2:B$81,$A6,'Raw Data'!S$2:S$81,"Stage 3")/SUMIFS('Raw Data'!K$2:K$81,'Raw Data'!B$2:B$81,$A6,'Raw Data'!S$2:S$81,"Stage 3"))</f>
        <v>N/A</v>
      </c>
      <c r="F6" s="38">
        <v>0.82</v>
      </c>
      <c r="G6" s="35">
        <f>SUMIFS('Raw Data'!U$2:U$81,'Raw Data'!B$2:B$81,$A6)/SUMIFS('Raw Data'!K$2:K$81,'Raw Data'!B$2:B$81,$A6)</f>
        <v>1.3564120482359474E-2</v>
      </c>
      <c r="H6" s="36" t="str">
        <f>IF(C6&lt;=0.05,"🟢 Green",IF(C6&lt;=0.1,"🟡 Amber","🔴 Red"))</f>
        <v>🟢 Green</v>
      </c>
    </row>
    <row r="7" spans="1:8" x14ac:dyDescent="0.2">
      <c r="A7" s="32" t="s">
        <v>331</v>
      </c>
      <c r="B7" s="35" cm="1">
        <f t="array" ref="B7">1-SUMPRODUCT(('Raw Data'!B$2:B$81=$A7)*('Raw Data'!R$2:R$81&gt;0)*('Raw Data'!K$2:K$81))/SUMIFS('Raw Data'!K$2:K$81,'Raw Data'!B$2:B$81,$A7)</f>
        <v>0.94906450148772004</v>
      </c>
      <c r="C7" s="35" cm="1">
        <f t="array" ref="C7">IF(SUMIFS('Raw Data'!K$2:K$81,'Raw Data'!B$2:B$81,$A7)=0,"-",SUMPRODUCT(('Raw Data'!B$2:B$81=$A7)*('Raw Data'!R$2:R$81&gt;0)*('Raw Data'!K$2:K$81))/SUMIFS('Raw Data'!K$2:K$81,'Raw Data'!B$2:B$81,$A7))</f>
        <v>5.0935498512279992E-2</v>
      </c>
      <c r="D7" s="134">
        <f>IF(COUNTIFS('Raw Data'!B$2:B$81,$A7,'Raw Data'!R$2:R$81,"&gt;0")=0,"N/A",AVERAGEIFS('Raw Data'!R$2:R$81,'Raw Data'!B$2:B$81,$A7,'Raw Data'!R$2:R$81,"&gt;0"))</f>
        <v>58.5</v>
      </c>
      <c r="E7" s="35">
        <f>IF(SUMIFS('Raw Data'!K$2:K$81,'Raw Data'!B$2:B$81,$A7,'Raw Data'!S$2:S$81,"Stage 3")=0,"N/A",SUMIFS('Raw Data'!U$2:U$81,'Raw Data'!B$2:B$81,$A7,'Raw Data'!S$2:S$81,"Stage 3")/SUMIFS('Raw Data'!K$2:K$81,'Raw Data'!B$2:B$81,$A7,'Raw Data'!S$2:S$81,"Stage 3"))</f>
        <v>0.39275766016713093</v>
      </c>
      <c r="F7" s="38">
        <v>0.78</v>
      </c>
      <c r="G7" s="35">
        <f>SUMIFS('Raw Data'!U$2:U$81,'Raw Data'!B$2:B$81,$A7)/SUMIFS('Raw Data'!K$2:K$81,'Raw Data'!B$2:B$81,$A7)</f>
        <v>2.3753088910182057E-2</v>
      </c>
      <c r="H7" s="36" t="str">
        <f>IF(C7&lt;=0.05,"🟢 Green",IF(C7&lt;=0.1,"🟡 Amber","🔴 Red"))</f>
        <v>🟡 Amber</v>
      </c>
    </row>
    <row r="8" spans="1:8" x14ac:dyDescent="0.2">
      <c r="A8" s="32" t="s">
        <v>333</v>
      </c>
      <c r="B8" s="35" cm="1">
        <f t="array" ref="B8">1-SUMPRODUCT(('Raw Data'!B$2:B$81=$A8)*('Raw Data'!R$2:R$81&gt;0)*('Raw Data'!K$2:K$81))/SUMIFS('Raw Data'!K$2:K$81,'Raw Data'!B$2:B$81,$A8)</f>
        <v>0.78893834905551585</v>
      </c>
      <c r="C8" s="35" cm="1">
        <f t="array" ref="C8">IF(SUMIFS('Raw Data'!K$2:K$81,'Raw Data'!B$2:B$81,$A8)=0,"-",SUMPRODUCT(('Raw Data'!B$2:B$81=$A8)*('Raw Data'!R$2:R$81&gt;0)*('Raw Data'!K$2:K$81))/SUMIFS('Raw Data'!K$2:K$81,'Raw Data'!B$2:B$81,$A8))</f>
        <v>0.21106165094448417</v>
      </c>
      <c r="D8" s="134">
        <f>IF(COUNTIFS('Raw Data'!B$2:B$81,$A8,'Raw Data'!R$2:R$81,"&gt;0")=0,"N/A",AVERAGEIFS('Raw Data'!R$2:R$81,'Raw Data'!B$2:B$81,$A8,'Raw Data'!R$2:R$81,"&gt;0"))</f>
        <v>24.333333333333332</v>
      </c>
      <c r="E8" s="35" t="str">
        <f>IF(SUMIFS('Raw Data'!K$2:K$81,'Raw Data'!B$2:B$81,$A8,'Raw Data'!S$2:S$81,"Stage 3")=0,"N/A",SUMIFS('Raw Data'!U$2:U$81,'Raw Data'!B$2:B$81,$A8,'Raw Data'!S$2:S$81,"Stage 3")/SUMIFS('Raw Data'!K$2:K$81,'Raw Data'!B$2:B$81,$A8,'Raw Data'!S$2:S$81,"Stage 3"))</f>
        <v>N/A</v>
      </c>
      <c r="F8" s="38">
        <v>0.72</v>
      </c>
      <c r="G8" s="35">
        <f>SUMIFS('Raw Data'!U$2:U$81,'Raw Data'!B$2:B$81,$A8)/SUMIFS('Raw Data'!K$2:K$81,'Raw Data'!B$2:B$81,$A8)</f>
        <v>3.6856793597342993E-2</v>
      </c>
      <c r="H8" s="36" t="str">
        <f>IF(C8&lt;=0.05,"🟢 Green",IF(C8&lt;=0.1,"🟡 Amber","🔴 Red"))</f>
        <v>🔴 Red</v>
      </c>
    </row>
    <row r="9" spans="1:8" x14ac:dyDescent="0.2">
      <c r="A9" s="32" t="s">
        <v>332</v>
      </c>
      <c r="B9" s="35" cm="1">
        <f t="array" ref="B9">1-SUMPRODUCT(('Raw Data'!B$2:B$81=$A9)*('Raw Data'!R$2:R$81&gt;0)*('Raw Data'!K$2:K$81))/SUMIFS('Raw Data'!K$2:K$81,'Raw Data'!B$2:B$81,$A9)</f>
        <v>0.92836805035216541</v>
      </c>
      <c r="C9" s="35" cm="1">
        <f t="array" ref="C9">IF(SUMIFS('Raw Data'!K$2:K$81,'Raw Data'!B$2:B$81,$A9)=0,"-",SUMPRODUCT(('Raw Data'!B$2:B$81=$A9)*('Raw Data'!R$2:R$81&gt;0)*('Raw Data'!K$2:K$81))/SUMIFS('Raw Data'!K$2:K$81,'Raw Data'!B$2:B$81,$A9))</f>
        <v>7.163194964783455E-2</v>
      </c>
      <c r="D9" s="134">
        <f>IF(COUNTIFS('Raw Data'!B$2:B$81,$A9,'Raw Data'!R$2:R$81,"&gt;0")=0,"N/A",AVERAGEIFS('Raw Data'!R$2:R$81,'Raw Data'!B$2:B$81,$A9,'Raw Data'!R$2:R$81,"&gt;0"))</f>
        <v>26</v>
      </c>
      <c r="E9" s="35" t="str">
        <f>IF(SUMIFS('Raw Data'!K$2:K$81,'Raw Data'!B$2:B$81,$A9,'Raw Data'!S$2:S$81,"Stage 3")=0,"N/A",SUMIFS('Raw Data'!U$2:U$81,'Raw Data'!B$2:B$81,$A9,'Raw Data'!S$2:S$81,"Stage 3")/SUMIFS('Raw Data'!K$2:K$81,'Raw Data'!B$2:B$81,$A9,'Raw Data'!S$2:S$81,"Stage 3"))</f>
        <v>N/A</v>
      </c>
      <c r="F9" s="38">
        <v>0.85</v>
      </c>
      <c r="G9" s="35">
        <f>SUMIFS('Raw Data'!U$2:U$81,'Raw Data'!B$2:B$81,$A9)/SUMIFS('Raw Data'!K$2:K$81,'Raw Data'!B$2:B$81,$A9)</f>
        <v>1.9121834257455419E-2</v>
      </c>
      <c r="H9" s="36" t="str">
        <f>IF(C9&lt;=0.05,"🟢 Green",IF(C9&lt;=0.1,"🟡 Amber","🔴 Red"))</f>
        <v>🟡 Amber</v>
      </c>
    </row>
    <row r="10" spans="1:8" x14ac:dyDescent="0.2">
      <c r="A10" s="32" t="s">
        <v>334</v>
      </c>
      <c r="B10" s="35" cm="1">
        <f t="array" ref="B10">IF(SUMIFS('Raw Data'!K$2:K$81,'Raw Data'!B$2:B$81,$A10)=0,"N/A",1-SUMPRODUCT(('Raw Data'!B$2:B$81=$A10)*('Raw Data'!R$2:R$81&gt;0)*('Raw Data'!K$2:K$81))/SUMIFS('Raw Data'!K$2:K$81,'Raw Data'!B$2:B$81,$A10))</f>
        <v>1</v>
      </c>
      <c r="C10" s="35" cm="1">
        <f t="array" ref="C10">IF(SUMIFS('Raw Data'!K$2:K$81,'Raw Data'!B$2:B$81,$A10)=0,"-",SUMPRODUCT(('Raw Data'!B$2:B$81=$A10)*('Raw Data'!R$2:R$81&gt;0)*('Raw Data'!K$2:K$81))/SUMIFS('Raw Data'!K$2:K$81,'Raw Data'!B$2:B$81,$A10))</f>
        <v>0</v>
      </c>
      <c r="D10" s="134" t="str">
        <f>IF(COUNTIFS('Raw Data'!B$2:B$81,$A10,'Raw Data'!R$2:R$81,"&gt;0")=0,"N/A",AVERAGEIFS('Raw Data'!R$2:R$81,'Raw Data'!B$2:B$81,$A10,'Raw Data'!R$2:R$81,"&gt;0"))</f>
        <v>N/A</v>
      </c>
      <c r="E10" s="33" t="s">
        <v>35</v>
      </c>
      <c r="F10" s="33" t="s">
        <v>35</v>
      </c>
      <c r="G10" s="35">
        <f>IF(SUMIFS('Raw Data'!K$2:K$81,'Raw Data'!B$2:B$81,$A10)=0,"N/A",SUMIFS('Raw Data'!U$2:U$81,'Raw Data'!B$2:B$81,$A10)/SUMIFS('Raw Data'!K$2:K$81,'Raw Data'!B$2:B$81,$A10))</f>
        <v>6.7298868155399221E-3</v>
      </c>
      <c r="H10" s="36" t="str">
        <f>IF(C10="-","🟢 Green",IF(C10&lt;=0.05,"🟢 Green",IF(C10&lt;=0.1,"🟡 Amber","🔴 Red")))</f>
        <v>🟢 Green</v>
      </c>
    </row>
    <row r="11" spans="1:8" x14ac:dyDescent="0.2">
      <c r="A11" s="40" t="s">
        <v>356</v>
      </c>
      <c r="B11" s="44" cm="1">
        <f t="array" ref="B11">1-SUMPRODUCT(('Raw Data'!R$2:R$81&gt;0)*('Raw Data'!K$2:K$81))/SUM('Raw Data'!K$2:K$81)</f>
        <v>0.91802299057373626</v>
      </c>
      <c r="C11" s="44" cm="1">
        <f t="array" ref="C11">SUMPRODUCT(('Raw Data'!R$2:R$81&gt;0)*('Raw Data'!K$2:K$81))/SUM('Raw Data'!K$2:K$81)</f>
        <v>8.1977009426263722E-2</v>
      </c>
      <c r="D11" s="166">
        <f>IF(COUNTIFS('Raw Data'!R$2:R$81,"&gt;0")=0,"N/A",AVERAGEIFS('Raw Data'!R$2:R$81,'Raw Data'!R$2:R$81,"&gt;0"))</f>
        <v>33.571428571428569</v>
      </c>
      <c r="E11" s="29"/>
      <c r="F11" s="29"/>
      <c r="G11" s="44">
        <f>SUM('Raw Data'!U$2:U$81)/SUM('Raw Data'!K$2:K$81)</f>
        <v>2.2399424271825938E-2</v>
      </c>
      <c r="H11" s="41" t="str">
        <f>IF(C11&lt;=0.05,"🟢 Green",IF(C11&lt;=0.1,"🟡 Amber","🔴 Red"))</f>
        <v>🟡 Amber</v>
      </c>
    </row>
    <row r="13" spans="1:8" x14ac:dyDescent="0.2">
      <c r="A13" s="103" t="s">
        <v>589</v>
      </c>
      <c r="B13" s="29"/>
      <c r="C13" s="29"/>
      <c r="D13" s="29"/>
      <c r="E13" s="29"/>
      <c r="F13" s="29"/>
      <c r="G13" s="29"/>
      <c r="H13" s="29"/>
    </row>
    <row r="14" spans="1:8" x14ac:dyDescent="0.2">
      <c r="A14" s="30" t="s">
        <v>329</v>
      </c>
      <c r="B14" s="122" t="s">
        <v>364</v>
      </c>
      <c r="C14" s="126" t="s">
        <v>365</v>
      </c>
      <c r="D14" s="123" t="s">
        <v>366</v>
      </c>
      <c r="E14" s="124" t="s">
        <v>367</v>
      </c>
      <c r="F14" s="125" t="s">
        <v>368</v>
      </c>
      <c r="G14" s="30" t="s">
        <v>369</v>
      </c>
      <c r="H14" s="30" t="s">
        <v>370</v>
      </c>
    </row>
    <row r="15" spans="1:8" x14ac:dyDescent="0.2">
      <c r="A15" s="32" t="s">
        <v>330</v>
      </c>
      <c r="B15" s="37" cm="1">
        <f t="array" ref="B15">SUMPRODUCT(('Raw Data'!B$2:B$81=$A15)*('Raw Data'!R$2:R$81=0)*('Raw Data'!K$2:K$81))</f>
        <v>556.02</v>
      </c>
      <c r="C15" s="37" cm="1">
        <f t="array" ref="C15">SUMPRODUCT(('Raw Data'!B$2:B$81=$A15)*('Raw Data'!R$2:R$81&gt;=1)*('Raw Data'!R$2:R$81&lt;=30)*('Raw Data'!K$2:K$81))</f>
        <v>2.0699999999999998</v>
      </c>
      <c r="D15" s="37" cm="1">
        <f t="array" ref="D15">SUMPRODUCT(('Raw Data'!B$2:B$81=$A15)*('Raw Data'!R$2:R$81&gt;=31)*('Raw Data'!R$2:R$81&lt;=60)*('Raw Data'!K$2:K$81))</f>
        <v>0</v>
      </c>
      <c r="E15" s="37" cm="1">
        <f t="array" ref="E15">SUMPRODUCT(('Raw Data'!B$2:B$81=$A15)*('Raw Data'!R$2:R$81&gt;=61)*('Raw Data'!R$2:R$81&lt;=90)*('Raw Data'!K$2:K$81))</f>
        <v>0</v>
      </c>
      <c r="F15" s="37" cm="1">
        <f t="array" ref="F15">SUMPRODUCT(('Raw Data'!B$2:B$81=$A15)*('Raw Data'!R$2:R$81&gt;90)*('Raw Data'!K$2:K$81))</f>
        <v>0</v>
      </c>
      <c r="G15" s="91">
        <f>SUM(B15:F15)</f>
        <v>558.09</v>
      </c>
      <c r="H15" s="35">
        <f>IF(G15=0,"-",(G15-B15)/G15)</f>
        <v>3.7090791807773832E-3</v>
      </c>
    </row>
    <row r="16" spans="1:8" x14ac:dyDescent="0.2">
      <c r="A16" s="32" t="s">
        <v>331</v>
      </c>
    </row>
    <row r="17" spans="1:1" x14ac:dyDescent="0.2">
      <c r="A17" s="32" t="s">
        <v>333</v>
      </c>
    </row>
    <row r="18" spans="1:1" x14ac:dyDescent="0.2">
      <c r="A18" s="32" t="s">
        <v>332</v>
      </c>
    </row>
    <row r="19" spans="1:1" x14ac:dyDescent="0.2">
      <c r="A19" s="32" t="s">
        <v>334</v>
      </c>
    </row>
    <row r="20" spans="1:1" x14ac:dyDescent="0.2">
      <c r="A20" s="40" t="s">
        <v>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6424-71B1-5F48-B8D4-681DABC6E79A}">
  <dimension ref="A1:K23"/>
  <sheetViews>
    <sheetView zoomScale="140" zoomScaleNormal="140" workbookViewId="0">
      <pane ySplit="3" topLeftCell="A4" activePane="bottomLeft" state="frozen"/>
      <selection pane="bottomLeft" activeCell="E33" sqref="E33"/>
    </sheetView>
  </sheetViews>
  <sheetFormatPr baseColWidth="10" defaultRowHeight="16" x14ac:dyDescent="0.2"/>
  <cols>
    <col min="1" max="1" width="14.1640625" customWidth="1"/>
    <col min="2" max="2" width="23.33203125" customWidth="1"/>
    <col min="3" max="3" width="25.83203125" customWidth="1"/>
    <col min="4" max="4" width="19.1640625" customWidth="1"/>
    <col min="5" max="11" width="18.33203125" customWidth="1"/>
  </cols>
  <sheetData>
    <row r="1" spans="1:11" ht="35" customHeight="1" x14ac:dyDescent="0.25">
      <c r="A1" s="135" t="s">
        <v>562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pans="1:11" ht="22" customHeight="1" x14ac:dyDescent="0.2">
      <c r="A2" s="128" t="s">
        <v>563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</row>
    <row r="4" spans="1:11" x14ac:dyDescent="0.2">
      <c r="A4" s="103" t="s">
        <v>564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 x14ac:dyDescent="0.2">
      <c r="A5" s="185" t="s">
        <v>329</v>
      </c>
      <c r="B5" s="189" t="s">
        <v>311</v>
      </c>
      <c r="C5" s="189" t="s">
        <v>306</v>
      </c>
      <c r="D5" s="189" t="s">
        <v>565</v>
      </c>
      <c r="E5" s="189" t="s">
        <v>566</v>
      </c>
      <c r="F5" s="189" t="s">
        <v>567</v>
      </c>
      <c r="G5" s="189" t="s">
        <v>568</v>
      </c>
      <c r="H5" s="190" t="s">
        <v>339</v>
      </c>
    </row>
    <row r="6" spans="1:11" x14ac:dyDescent="0.2">
      <c r="A6" s="191" t="s">
        <v>330</v>
      </c>
      <c r="B6" s="192">
        <f>COUNTIFS('Raw Data'!B$2:B$81,$A6,'Raw Data'!Z$2:Z$81,"Yes")</f>
        <v>1</v>
      </c>
      <c r="C6" s="193">
        <f>SUMIFS('Raw Data'!K$2:K$81,'Raw Data'!B$2:B$81,$A6,'Raw Data'!Z$2:Z$81,"Yes")</f>
        <v>2.0699999999999998</v>
      </c>
      <c r="D6" s="195">
        <f>IF(SUMIFS('Raw Data'!K$2:K$81,'Raw Data'!B$2:B$81,$A6)=0,"-",C6/SUMIFS('Raw Data'!K$2:K$81,'Raw Data'!B$2:B$81,$A6))</f>
        <v>3.7090791807772934E-3</v>
      </c>
      <c r="E6" s="192">
        <f>COUNTIFS('Raw Data'!B$2:B$81,$A6,'Raw Data'!AA$2:AA$81,"&gt;="&amp;2)</f>
        <v>1</v>
      </c>
      <c r="F6" s="193">
        <f>SUMIFS('Raw Data'!K$2:K$81,'Raw Data'!B$2:B$81,$A6,'Raw Data'!AA$2:AA$81,"&gt;="&amp;2)</f>
        <v>2.0699999999999998</v>
      </c>
      <c r="G6" s="192">
        <f>COUNTIFS('Raw Data'!B$2:B$81,$A6,'Raw Data'!S$2:S$81,"&lt;&gt;Stage 1")</f>
        <v>1</v>
      </c>
      <c r="H6" s="196" t="str">
        <f>IF(D6="-","🟢 Green",IF(D6&gt;0.1,"🔴 Red",IF(D6&gt;0.05,"🟡 Amber","🟢 Green")))</f>
        <v>🟢 Green</v>
      </c>
    </row>
    <row r="7" spans="1:11" x14ac:dyDescent="0.2">
      <c r="A7" s="191" t="s">
        <v>331</v>
      </c>
      <c r="B7" s="192">
        <f>COUNTIFS('Raw Data'!B$2:B$81,$A7,'Raw Data'!Z$2:Z$81,"Yes")</f>
        <v>2</v>
      </c>
      <c r="C7" s="193">
        <f>SUMIFS('Raw Data'!K$2:K$81,'Raw Data'!B$2:B$81,$A7,'Raw Data'!Z$2:Z$81,"Yes")</f>
        <v>10.1</v>
      </c>
      <c r="D7" s="195">
        <f>IF(SUMIFS('Raw Data'!K$2:K$81,'Raw Data'!B$2:B$81,$A7)=0,"-",C7/SUMIFS('Raw Data'!K$2:K$81,'Raw Data'!B$2:B$81,$A7))</f>
        <v>5.0935498512279992E-2</v>
      </c>
      <c r="E7" s="192">
        <f>COUNTIFS('Raw Data'!B$2:B$81,$A7,'Raw Data'!AA$2:AA$81,"&gt;="&amp;2)</f>
        <v>2</v>
      </c>
      <c r="F7" s="193">
        <f>SUMIFS('Raw Data'!K$2:K$81,'Raw Data'!B$2:B$81,$A7,'Raw Data'!AA$2:AA$81,"&gt;="&amp;2)</f>
        <v>10.1</v>
      </c>
      <c r="G7" s="192">
        <f>COUNTIFS('Raw Data'!B$2:B$81,$A7,'Raw Data'!S$2:S$81,"&lt;&gt;Stage 1")</f>
        <v>2</v>
      </c>
      <c r="H7" s="196" t="str">
        <f>IF(D7="-","🟢 Green",IF(D7&gt;0.1,"🔴 Red",IF(D7&gt;0.05,"🟡 Amber","🟢 Green")))</f>
        <v>🟡 Amber</v>
      </c>
    </row>
    <row r="8" spans="1:11" x14ac:dyDescent="0.2">
      <c r="A8" s="191" t="s">
        <v>333</v>
      </c>
      <c r="B8" s="192">
        <f>COUNTIFS('Raw Data'!B$2:B$81,$A8,'Raw Data'!Z$2:Z$81,"Yes")</f>
        <v>5</v>
      </c>
      <c r="C8" s="193">
        <f>SUMIFS('Raw Data'!K$2:K$81,'Raw Data'!B$2:B$81,$A8,'Raw Data'!Z$2:Z$81,"Yes")</f>
        <v>145.14000000000001</v>
      </c>
      <c r="D8" s="195">
        <f>IF(SUMIFS('Raw Data'!K$2:K$81,'Raw Data'!B$2:B$81,$A8)=0,"-",C8/SUMIFS('Raw Data'!K$2:K$81,'Raw Data'!B$2:B$81,$A8))</f>
        <v>0.33475563346172477</v>
      </c>
      <c r="E8" s="192">
        <f>COUNTIFS('Raw Data'!B$2:B$81,$A8,'Raw Data'!AA$2:AA$81,"&gt;="&amp;2)</f>
        <v>5</v>
      </c>
      <c r="F8" s="193">
        <f>SUMIFS('Raw Data'!K$2:K$81,'Raw Data'!B$2:B$81,$A8,'Raw Data'!AA$2:AA$81,"&gt;="&amp;2)</f>
        <v>145.14000000000001</v>
      </c>
      <c r="G8" s="192">
        <f>COUNTIFS('Raw Data'!B$2:B$81,$A8,'Raw Data'!S$2:S$81,"&lt;&gt;Stage 1")</f>
        <v>5</v>
      </c>
      <c r="H8" s="196" t="str">
        <f>IF(D8="-","🟢 Green",IF(D8&gt;0.1,"🔴 Red",IF(D8&gt;0.05,"🟡 Amber","🟢 Green")))</f>
        <v>🔴 Red</v>
      </c>
    </row>
    <row r="9" spans="1:11" x14ac:dyDescent="0.2">
      <c r="A9" s="191" t="s">
        <v>332</v>
      </c>
      <c r="B9" s="192">
        <f>COUNTIFS('Raw Data'!B$2:B$81,$A9,'Raw Data'!Z$2:Z$81,"Yes")</f>
        <v>1</v>
      </c>
      <c r="C9" s="193">
        <f>SUMIFS('Raw Data'!K$2:K$81,'Raw Data'!B$2:B$81,$A9,'Raw Data'!Z$2:Z$81,"Yes")</f>
        <v>23.9</v>
      </c>
      <c r="D9" s="195">
        <f>IF(SUMIFS('Raw Data'!K$2:K$81,'Raw Data'!B$2:B$81,$A9)=0,"-",C9/SUMIFS('Raw Data'!K$2:K$81,'Raw Data'!B$2:B$81,$A9))</f>
        <v>7.163194964783455E-2</v>
      </c>
      <c r="E9" s="192">
        <f>COUNTIFS('Raw Data'!B$2:B$81,$A9,'Raw Data'!AA$2:AA$81,"&gt;="&amp;2)</f>
        <v>1</v>
      </c>
      <c r="F9" s="193">
        <f>SUMIFS('Raw Data'!K$2:K$81,'Raw Data'!B$2:B$81,$A9,'Raw Data'!AA$2:AA$81,"&gt;="&amp;2)</f>
        <v>23.9</v>
      </c>
      <c r="G9" s="192">
        <f>COUNTIFS('Raw Data'!B$2:B$81,$A9,'Raw Data'!S$2:S$81,"&lt;&gt;Stage 1")</f>
        <v>1</v>
      </c>
      <c r="H9" s="196" t="str">
        <f>IF(D9="-","🟢 Green",IF(D9&gt;0.1,"🔴 Red",IF(D9&gt;0.05,"🟡 Amber","🟢 Green")))</f>
        <v>🟡 Amber</v>
      </c>
    </row>
    <row r="10" spans="1:11" x14ac:dyDescent="0.2">
      <c r="A10" s="191" t="s">
        <v>334</v>
      </c>
      <c r="B10" s="192">
        <f>COUNTIFS('Raw Data'!B$2:B$81,$A10,'Raw Data'!Z$2:Z$81,"Yes")</f>
        <v>0</v>
      </c>
      <c r="C10" s="193">
        <f>SUMIFS('Raw Data'!K$2:K$81,'Raw Data'!B$2:B$81,$A10,'Raw Data'!Z$2:Z$81,"Yes")</f>
        <v>0</v>
      </c>
      <c r="D10" s="195">
        <f>IF(SUMIFS('Raw Data'!K$2:K$81,'Raw Data'!B$2:B$81,$A10)=0,"-",C10/SUMIFS('Raw Data'!K$2:K$81,'Raw Data'!B$2:B$81,$A10))</f>
        <v>0</v>
      </c>
      <c r="E10" s="192">
        <f>COUNTIFS('Raw Data'!B$2:B$81,$A10,'Raw Data'!AA$2:AA$81,"&gt;="&amp;2)</f>
        <v>0</v>
      </c>
      <c r="F10" s="193">
        <f>SUMIFS('Raw Data'!K$2:K$81,'Raw Data'!B$2:B$81,$A10,'Raw Data'!AA$2:AA$81,"&gt;="&amp;2)</f>
        <v>0</v>
      </c>
      <c r="G10" s="192">
        <f>COUNTIFS('Raw Data'!B$2:B$81,$A10,'Raw Data'!S$2:S$81,"&lt;&gt;Stage 1")</f>
        <v>0</v>
      </c>
      <c r="H10" s="196" t="str">
        <f>IF(D10="-","🟢 Green",IF(D10&gt;0.1,"🔴 Red",IF(D10&gt;0.05,"🟡 Amber","🟢 Green")))</f>
        <v>🟢 Green</v>
      </c>
    </row>
    <row r="11" spans="1:11" x14ac:dyDescent="0.2">
      <c r="A11" s="197" t="s">
        <v>356</v>
      </c>
      <c r="B11" s="198">
        <f>SUM(B6:B10)</f>
        <v>9</v>
      </c>
      <c r="C11" s="199">
        <f>SUM(C6:C10)</f>
        <v>181.21</v>
      </c>
      <c r="D11" s="200">
        <f>C11/SUM('Raw Data'!K2:K81)</f>
        <v>0.11643716788002234</v>
      </c>
      <c r="E11" s="198">
        <f>SUM(E6:E10)</f>
        <v>9</v>
      </c>
      <c r="F11" s="199">
        <f>SUM(F6:F10)</f>
        <v>181.21</v>
      </c>
      <c r="G11" s="198">
        <f>SUM(G6:G10)</f>
        <v>9</v>
      </c>
      <c r="H11" s="201"/>
    </row>
    <row r="13" spans="1:11" x14ac:dyDescent="0.2">
      <c r="A13" s="103" t="s">
        <v>569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4" spans="1:11" x14ac:dyDescent="0.2">
      <c r="A14" s="185" t="s">
        <v>325</v>
      </c>
      <c r="B14" s="189" t="s">
        <v>329</v>
      </c>
      <c r="C14" s="189" t="s">
        <v>326</v>
      </c>
      <c r="D14" s="189" t="s">
        <v>327</v>
      </c>
      <c r="E14" s="189" t="s">
        <v>9</v>
      </c>
      <c r="F14" s="189" t="s">
        <v>328</v>
      </c>
      <c r="G14" s="189" t="s">
        <v>318</v>
      </c>
      <c r="H14" s="189" t="s">
        <v>321</v>
      </c>
      <c r="I14" s="189" t="s">
        <v>570</v>
      </c>
      <c r="J14" s="189" t="s">
        <v>384</v>
      </c>
      <c r="K14" s="190" t="s">
        <v>314</v>
      </c>
    </row>
    <row r="15" spans="1:11" x14ac:dyDescent="0.2">
      <c r="A15" s="215" t="s">
        <v>286</v>
      </c>
      <c r="B15" s="216" t="s">
        <v>571</v>
      </c>
      <c r="C15" s="217" t="s">
        <v>287</v>
      </c>
      <c r="D15" s="218" t="s">
        <v>572</v>
      </c>
      <c r="E15" s="219">
        <v>3.59</v>
      </c>
      <c r="F15" s="220">
        <v>92</v>
      </c>
      <c r="G15" s="221" t="s">
        <v>289</v>
      </c>
      <c r="H15" s="222">
        <v>10</v>
      </c>
      <c r="I15" s="220">
        <v>5</v>
      </c>
      <c r="J15" s="218" t="s">
        <v>573</v>
      </c>
      <c r="K15" s="223" t="s">
        <v>574</v>
      </c>
    </row>
    <row r="16" spans="1:11" x14ac:dyDescent="0.2">
      <c r="A16" s="224" t="s">
        <v>189</v>
      </c>
      <c r="B16" s="225" t="s">
        <v>333</v>
      </c>
      <c r="C16" s="226" t="s">
        <v>190</v>
      </c>
      <c r="D16" s="227" t="s">
        <v>575</v>
      </c>
      <c r="E16" s="228">
        <v>26.5</v>
      </c>
      <c r="F16" s="229">
        <v>5</v>
      </c>
      <c r="G16" s="230" t="s">
        <v>142</v>
      </c>
      <c r="H16" s="229">
        <v>8</v>
      </c>
      <c r="I16" s="231">
        <v>4</v>
      </c>
      <c r="J16" s="227" t="s">
        <v>576</v>
      </c>
      <c r="K16" s="232" t="s">
        <v>577</v>
      </c>
    </row>
    <row r="17" spans="1:11" x14ac:dyDescent="0.2">
      <c r="A17" s="224" t="s">
        <v>256</v>
      </c>
      <c r="B17" s="225" t="s">
        <v>333</v>
      </c>
      <c r="C17" s="226" t="s">
        <v>257</v>
      </c>
      <c r="D17" s="227" t="s">
        <v>578</v>
      </c>
      <c r="E17" s="228">
        <v>36.42</v>
      </c>
      <c r="F17" s="229">
        <v>26</v>
      </c>
      <c r="G17" s="230" t="s">
        <v>142</v>
      </c>
      <c r="H17" s="229">
        <v>9</v>
      </c>
      <c r="I17" s="231">
        <v>4</v>
      </c>
      <c r="J17" s="227" t="s">
        <v>576</v>
      </c>
      <c r="K17" s="232" t="s">
        <v>577</v>
      </c>
    </row>
    <row r="18" spans="1:11" x14ac:dyDescent="0.2">
      <c r="A18" s="224" t="s">
        <v>263</v>
      </c>
      <c r="B18" s="225" t="s">
        <v>333</v>
      </c>
      <c r="C18" s="226" t="s">
        <v>264</v>
      </c>
      <c r="D18" s="227" t="s">
        <v>575</v>
      </c>
      <c r="E18" s="228">
        <v>15.28</v>
      </c>
      <c r="F18" s="229">
        <v>0</v>
      </c>
      <c r="G18" s="230" t="s">
        <v>142</v>
      </c>
      <c r="H18" s="229">
        <v>8</v>
      </c>
      <c r="I18" s="231">
        <v>4</v>
      </c>
      <c r="J18" s="227" t="s">
        <v>579</v>
      </c>
      <c r="K18" s="232" t="s">
        <v>577</v>
      </c>
    </row>
    <row r="19" spans="1:11" x14ac:dyDescent="0.2">
      <c r="A19" s="224" t="s">
        <v>281</v>
      </c>
      <c r="B19" s="225" t="s">
        <v>333</v>
      </c>
      <c r="C19" s="226" t="s">
        <v>282</v>
      </c>
      <c r="D19" s="227" t="s">
        <v>580</v>
      </c>
      <c r="E19" s="228">
        <v>28.59</v>
      </c>
      <c r="F19" s="230">
        <v>42</v>
      </c>
      <c r="G19" s="230" t="s">
        <v>142</v>
      </c>
      <c r="H19" s="229">
        <v>9</v>
      </c>
      <c r="I19" s="231">
        <v>4</v>
      </c>
      <c r="J19" s="227" t="s">
        <v>581</v>
      </c>
      <c r="K19" s="232" t="s">
        <v>577</v>
      </c>
    </row>
    <row r="20" spans="1:11" x14ac:dyDescent="0.2">
      <c r="A20" s="224" t="s">
        <v>139</v>
      </c>
      <c r="B20" s="225" t="s">
        <v>330</v>
      </c>
      <c r="C20" s="226" t="s">
        <v>140</v>
      </c>
      <c r="D20" s="227" t="s">
        <v>41</v>
      </c>
      <c r="E20" s="228">
        <v>2.0699999999999998</v>
      </c>
      <c r="F20" s="229">
        <v>19</v>
      </c>
      <c r="G20" s="230" t="s">
        <v>142</v>
      </c>
      <c r="H20" s="229">
        <v>8</v>
      </c>
      <c r="I20" s="231">
        <v>3</v>
      </c>
      <c r="J20" s="227" t="s">
        <v>582</v>
      </c>
      <c r="K20" s="232" t="s">
        <v>583</v>
      </c>
    </row>
    <row r="21" spans="1:11" x14ac:dyDescent="0.2">
      <c r="A21" s="224" t="s">
        <v>240</v>
      </c>
      <c r="B21" s="225" t="s">
        <v>571</v>
      </c>
      <c r="C21" s="226" t="s">
        <v>241</v>
      </c>
      <c r="D21" s="227" t="s">
        <v>578</v>
      </c>
      <c r="E21" s="228">
        <v>6.51</v>
      </c>
      <c r="F21" s="229">
        <v>25</v>
      </c>
      <c r="G21" s="230" t="s">
        <v>142</v>
      </c>
      <c r="H21" s="229">
        <v>8</v>
      </c>
      <c r="I21" s="231">
        <v>3</v>
      </c>
      <c r="J21" s="227" t="s">
        <v>582</v>
      </c>
      <c r="K21" s="232" t="s">
        <v>583</v>
      </c>
    </row>
    <row r="22" spans="1:11" x14ac:dyDescent="0.2">
      <c r="A22" s="224" t="s">
        <v>253</v>
      </c>
      <c r="B22" s="225" t="s">
        <v>332</v>
      </c>
      <c r="C22" s="226" t="s">
        <v>254</v>
      </c>
      <c r="D22" s="227" t="s">
        <v>41</v>
      </c>
      <c r="E22" s="228">
        <v>23.9</v>
      </c>
      <c r="F22" s="229">
        <v>26</v>
      </c>
      <c r="G22" s="230" t="s">
        <v>142</v>
      </c>
      <c r="H22" s="229">
        <v>7</v>
      </c>
      <c r="I22" s="231">
        <v>3</v>
      </c>
      <c r="J22" s="227" t="s">
        <v>584</v>
      </c>
      <c r="K22" s="232" t="s">
        <v>583</v>
      </c>
    </row>
    <row r="23" spans="1:11" x14ac:dyDescent="0.2">
      <c r="A23" s="233" t="s">
        <v>290</v>
      </c>
      <c r="B23" s="234" t="s">
        <v>333</v>
      </c>
      <c r="C23" s="235" t="s">
        <v>291</v>
      </c>
      <c r="D23" s="236" t="s">
        <v>41</v>
      </c>
      <c r="E23" s="237">
        <v>38.35</v>
      </c>
      <c r="F23" s="238">
        <v>0</v>
      </c>
      <c r="G23" s="239" t="s">
        <v>142</v>
      </c>
      <c r="H23" s="238">
        <v>8</v>
      </c>
      <c r="I23" s="240">
        <v>3</v>
      </c>
      <c r="J23" s="236" t="s">
        <v>585</v>
      </c>
      <c r="K23" s="241" t="s">
        <v>583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47D2-3D05-2540-AAF2-DD825731B759}">
  <dimension ref="A1:J28"/>
  <sheetViews>
    <sheetView zoomScale="140" zoomScaleNormal="140" workbookViewId="0">
      <selection activeCell="G6" sqref="G6"/>
    </sheetView>
  </sheetViews>
  <sheetFormatPr baseColWidth="10" defaultRowHeight="16" x14ac:dyDescent="0.2"/>
  <cols>
    <col min="1" max="1" width="33.33203125" customWidth="1"/>
    <col min="2" max="10" width="19.1640625" customWidth="1"/>
  </cols>
  <sheetData>
    <row r="1" spans="1:10" ht="35" customHeight="1" x14ac:dyDescent="0.25">
      <c r="A1" s="135" t="s">
        <v>385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22" customHeight="1" x14ac:dyDescent="0.2">
      <c r="A2" s="128" t="s">
        <v>386</v>
      </c>
      <c r="B2" s="128"/>
      <c r="C2" s="128"/>
      <c r="D2" s="128"/>
      <c r="E2" s="128"/>
      <c r="F2" s="128"/>
      <c r="G2" s="128"/>
      <c r="H2" s="128"/>
      <c r="I2" s="128"/>
      <c r="J2" s="128"/>
    </row>
    <row r="4" spans="1:10" x14ac:dyDescent="0.2">
      <c r="A4" s="105" t="s">
        <v>387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x14ac:dyDescent="0.2">
      <c r="A5" s="72" t="s">
        <v>329</v>
      </c>
      <c r="B5" s="136" t="s">
        <v>388</v>
      </c>
      <c r="C5" s="137" t="s">
        <v>389</v>
      </c>
      <c r="D5" s="138" t="s">
        <v>390</v>
      </c>
      <c r="E5" s="139" t="s">
        <v>391</v>
      </c>
      <c r="F5" s="140" t="s">
        <v>392</v>
      </c>
      <c r="G5" s="73" t="s">
        <v>340</v>
      </c>
      <c r="H5" s="73" t="s">
        <v>393</v>
      </c>
      <c r="I5" s="73" t="s">
        <v>394</v>
      </c>
      <c r="J5" s="74" t="s">
        <v>395</v>
      </c>
    </row>
    <row r="6" spans="1:10" x14ac:dyDescent="0.2">
      <c r="A6" s="85" t="s">
        <v>330</v>
      </c>
      <c r="B6" s="76">
        <f>COUNTIFS('Raw Data'!B$2:B$81,$A6,'Raw Data'!AA$2:AA$81,0)</f>
        <v>21</v>
      </c>
      <c r="C6" s="76">
        <f>COUNTIFS('Raw Data'!B$2:B$81,$A6,'Raw Data'!AA$2:AA$81,1)</f>
        <v>7</v>
      </c>
      <c r="D6" s="76">
        <f>COUNTIFS('Raw Data'!B$2:B$81,$A6,'Raw Data'!AA$2:AA$81,2)</f>
        <v>0</v>
      </c>
      <c r="E6" s="76">
        <f>COUNTIFS('Raw Data'!B$2:B$81,$A6,'Raw Data'!AA$2:AA$81,3)</f>
        <v>1</v>
      </c>
      <c r="F6" s="76">
        <f>COUNTIFS('Raw Data'!B$2:B$81,$A6,'Raw Data'!AA$2:AA$81,"&gt;="&amp;4)</f>
        <v>0</v>
      </c>
      <c r="G6" s="93">
        <f>SUM(B6:F6)</f>
        <v>29</v>
      </c>
      <c r="H6" s="141">
        <f>IF(G6=0,"-",AVERAGEIFS('Raw Data'!AA$2:AA$81,'Raw Data'!B$2:B$81,$A6))</f>
        <v>0.34482758620689657</v>
      </c>
      <c r="I6" s="77">
        <f>SUMIFS('Raw Data'!K$2:K$81,'Raw Data'!B$2:B$81,$A6,'Raw Data'!AA$2:AA$81,"&gt;="&amp;2)</f>
        <v>2.0699999999999998</v>
      </c>
      <c r="J6" s="87" t="str">
        <f>IF(H6&gt;=2,"🔴 Critical",IF(H6&gt;=1,"🟡 Elevated","🟢 Normal"))</f>
        <v>🟢 Normal</v>
      </c>
    </row>
    <row r="7" spans="1:10" x14ac:dyDescent="0.2">
      <c r="A7" s="85" t="s">
        <v>331</v>
      </c>
      <c r="B7" s="76">
        <f>COUNTIFS('Raw Data'!B$2:B$81,$A7,'Raw Data'!AA$2:AA$81,0)</f>
        <v>8</v>
      </c>
      <c r="C7" s="76">
        <f>COUNTIFS('Raw Data'!B$2:B$81,$A7,'Raw Data'!AA$2:AA$81,1)</f>
        <v>2</v>
      </c>
      <c r="D7" s="76">
        <f>COUNTIFS('Raw Data'!B$2:B$81,$A7,'Raw Data'!AA$2:AA$81,2)</f>
        <v>0</v>
      </c>
      <c r="E7" s="76">
        <f>COUNTIFS('Raw Data'!B$2:B$81,$A7,'Raw Data'!AA$2:AA$81,3)</f>
        <v>1</v>
      </c>
      <c r="F7" s="76">
        <f>COUNTIFS('Raw Data'!B$2:B$81,$A7,'Raw Data'!AA$2:AA$81,"&gt;="&amp;4)</f>
        <v>1</v>
      </c>
      <c r="G7" s="93">
        <f>SUM(B7:F7)</f>
        <v>12</v>
      </c>
      <c r="H7" s="141">
        <f>IF(G7=0,"-",AVERAGEIFS('Raw Data'!AA$2:AA$81,'Raw Data'!B$2:B$81,$A7))</f>
        <v>0.83333333333333337</v>
      </c>
      <c r="I7" s="77">
        <f>SUMIFS('Raw Data'!K$2:K$81,'Raw Data'!B$2:B$81,$A7,'Raw Data'!AA$2:AA$81,"&gt;="&amp;2)</f>
        <v>10.1</v>
      </c>
      <c r="J7" s="87" t="str">
        <f>IF(H7&gt;=2,"🔴 Critical",IF(H7&gt;=1,"🟡 Elevated","🟢 Normal"))</f>
        <v>🟢 Normal</v>
      </c>
    </row>
    <row r="8" spans="1:10" x14ac:dyDescent="0.2">
      <c r="A8" s="85" t="s">
        <v>333</v>
      </c>
      <c r="B8" s="76">
        <f>COUNTIFS('Raw Data'!B$2:B$81,$A8,'Raw Data'!AA$2:AA$81,0)</f>
        <v>10</v>
      </c>
      <c r="C8" s="76">
        <f>COUNTIFS('Raw Data'!B$2:B$81,$A8,'Raw Data'!AA$2:AA$81,1)</f>
        <v>4</v>
      </c>
      <c r="D8" s="76">
        <f>COUNTIFS('Raw Data'!B$2:B$81,$A8,'Raw Data'!AA$2:AA$81,2)</f>
        <v>0</v>
      </c>
      <c r="E8" s="76">
        <f>COUNTIFS('Raw Data'!B$2:B$81,$A8,'Raw Data'!AA$2:AA$81,3)</f>
        <v>1</v>
      </c>
      <c r="F8" s="76">
        <f>COUNTIFS('Raw Data'!B$2:B$81,$A8,'Raw Data'!AA$2:AA$81,"&gt;="&amp;4)</f>
        <v>4</v>
      </c>
      <c r="G8" s="93">
        <f>SUM(B8:F8)</f>
        <v>19</v>
      </c>
      <c r="H8" s="141">
        <f>IF(G8=0,"-",AVERAGEIFS('Raw Data'!AA$2:AA$81,'Raw Data'!B$2:B$81,$A8))</f>
        <v>1.2105263157894737</v>
      </c>
      <c r="I8" s="77">
        <f>SUMIFS('Raw Data'!K$2:K$81,'Raw Data'!B$2:B$81,$A8,'Raw Data'!AA$2:AA$81,"&gt;="&amp;2)</f>
        <v>145.14000000000001</v>
      </c>
      <c r="J8" s="87" t="str">
        <f>IF(H8&gt;=2,"🔴 Critical",IF(H8&gt;=1,"🟡 Elevated","🟢 Normal"))</f>
        <v>🟡 Elevated</v>
      </c>
    </row>
    <row r="9" spans="1:10" x14ac:dyDescent="0.2">
      <c r="A9" s="85" t="s">
        <v>332</v>
      </c>
      <c r="B9" s="76">
        <f>COUNTIFS('Raw Data'!B$2:B$81,$A9,'Raw Data'!AA$2:AA$81,0)</f>
        <v>15</v>
      </c>
      <c r="C9" s="76">
        <f>COUNTIFS('Raw Data'!B$2:B$81,$A9,'Raw Data'!AA$2:AA$81,1)</f>
        <v>2</v>
      </c>
      <c r="D9" s="76">
        <f>COUNTIFS('Raw Data'!B$2:B$81,$A9,'Raw Data'!AA$2:AA$81,2)</f>
        <v>0</v>
      </c>
      <c r="E9" s="76">
        <f>COUNTIFS('Raw Data'!B$2:B$81,$A9,'Raw Data'!AA$2:AA$81,3)</f>
        <v>1</v>
      </c>
      <c r="F9" s="76">
        <f>COUNTIFS('Raw Data'!B$2:B$81,$A9,'Raw Data'!AA$2:AA$81,"&gt;="&amp;4)</f>
        <v>0</v>
      </c>
      <c r="G9" s="93">
        <f>SUM(B9:F9)</f>
        <v>18</v>
      </c>
      <c r="H9" s="141">
        <f>IF(G9=0,"-",AVERAGEIFS('Raw Data'!AA$2:AA$81,'Raw Data'!B$2:B$81,$A9))</f>
        <v>0.27777777777777779</v>
      </c>
      <c r="I9" s="77">
        <f>SUMIFS('Raw Data'!K$2:K$81,'Raw Data'!B$2:B$81,$A9,'Raw Data'!AA$2:AA$81,"&gt;="&amp;2)</f>
        <v>23.9</v>
      </c>
      <c r="J9" s="87" t="str">
        <f>IF(H9&gt;=2,"🔴 Critical",IF(H9&gt;=1,"🟡 Elevated","🟢 Normal"))</f>
        <v>🟢 Normal</v>
      </c>
    </row>
    <row r="10" spans="1:10" x14ac:dyDescent="0.2">
      <c r="A10" s="85" t="s">
        <v>334</v>
      </c>
      <c r="B10" s="76">
        <f>COUNTIFS('Raw Data'!B$2:B$81,$A10,'Raw Data'!AA$2:AA$81,0)</f>
        <v>2</v>
      </c>
      <c r="C10" s="76">
        <f>COUNTIFS('Raw Data'!B$2:B$81,$A10,'Raw Data'!AA$2:AA$81,1)</f>
        <v>0</v>
      </c>
      <c r="D10" s="76">
        <f>COUNTIFS('Raw Data'!B$2:B$81,$A10,'Raw Data'!AA$2:AA$81,2)</f>
        <v>0</v>
      </c>
      <c r="E10" s="76">
        <f>COUNTIFS('Raw Data'!B$2:B$81,$A10,'Raw Data'!AA$2:AA$81,3)</f>
        <v>0</v>
      </c>
      <c r="F10" s="76">
        <f>COUNTIFS('Raw Data'!B$2:B$81,$A10,'Raw Data'!AA$2:AA$81,"&gt;="&amp;4)</f>
        <v>0</v>
      </c>
      <c r="G10" s="93">
        <f>SUM(B10:F10)</f>
        <v>2</v>
      </c>
      <c r="H10" s="141">
        <f>IF(G10=0,"-",AVERAGEIFS('Raw Data'!AA$2:AA$81,'Raw Data'!B$2:B$81,$A10))</f>
        <v>0</v>
      </c>
      <c r="I10" s="77">
        <f>SUMIFS('Raw Data'!K$2:K$81,'Raw Data'!B$2:B$81,$A10,'Raw Data'!AA$2:AA$81,"&gt;="&amp;2)</f>
        <v>0</v>
      </c>
      <c r="J10" s="87" t="str">
        <f>IF(H10&gt;=2,"🔴 Critical",IF(H10&gt;=1,"🟡 Elevated","🟢 Normal"))</f>
        <v>🟢 Normal</v>
      </c>
    </row>
    <row r="11" spans="1:10" x14ac:dyDescent="0.2">
      <c r="A11" s="79" t="s">
        <v>356</v>
      </c>
      <c r="B11" s="81">
        <f>SUM(B6:B10)</f>
        <v>56</v>
      </c>
      <c r="C11" s="81">
        <f>SUM(C6:C10)</f>
        <v>15</v>
      </c>
      <c r="D11" s="81">
        <f>SUM(D6:D10)</f>
        <v>0</v>
      </c>
      <c r="E11" s="81">
        <f>SUM(E6:E10)</f>
        <v>4</v>
      </c>
      <c r="F11" s="81">
        <f>SUM(F6:F10)</f>
        <v>5</v>
      </c>
      <c r="G11" s="81">
        <f>SUM(G6:G10)</f>
        <v>80</v>
      </c>
      <c r="H11" s="142">
        <f>AVERAGE('Raw Data'!AA2:AA81)</f>
        <v>0.6</v>
      </c>
      <c r="I11" s="82">
        <f>SUM(I6:I10)</f>
        <v>181.21</v>
      </c>
      <c r="J11" s="84"/>
    </row>
    <row r="12" spans="1:10" x14ac:dyDescent="0.2">
      <c r="A12" s="47"/>
      <c r="B12" s="47"/>
      <c r="C12" s="47"/>
      <c r="D12" s="47"/>
      <c r="E12" s="47"/>
      <c r="F12" s="47"/>
      <c r="G12" s="47"/>
      <c r="H12" s="47"/>
      <c r="I12" s="47"/>
      <c r="J12" s="47"/>
    </row>
    <row r="13" spans="1:10" x14ac:dyDescent="0.2">
      <c r="A13" s="105" t="s">
        <v>396</v>
      </c>
      <c r="B13" s="48"/>
      <c r="C13" s="48"/>
      <c r="D13" s="48"/>
      <c r="E13" s="48"/>
      <c r="F13" s="48"/>
      <c r="G13" s="48"/>
      <c r="H13" s="48"/>
      <c r="I13" s="48"/>
      <c r="J13" s="48"/>
    </row>
    <row r="14" spans="1:10" x14ac:dyDescent="0.2">
      <c r="A14" s="143"/>
      <c r="B14" s="144"/>
      <c r="C14" s="73" t="s">
        <v>397</v>
      </c>
      <c r="D14" s="144"/>
      <c r="E14" s="144"/>
      <c r="F14" s="145"/>
      <c r="G14" s="47"/>
      <c r="H14" s="72" t="s">
        <v>404</v>
      </c>
      <c r="I14" s="73" t="s">
        <v>298</v>
      </c>
      <c r="J14" s="74" t="s">
        <v>339</v>
      </c>
    </row>
    <row r="15" spans="1:10" x14ac:dyDescent="0.2">
      <c r="A15" s="146" t="s">
        <v>398</v>
      </c>
      <c r="B15" s="147"/>
      <c r="C15" s="148" t="s">
        <v>34</v>
      </c>
      <c r="D15" s="149" t="s">
        <v>142</v>
      </c>
      <c r="E15" s="150" t="s">
        <v>289</v>
      </c>
      <c r="F15" s="151" t="s">
        <v>399</v>
      </c>
      <c r="G15" s="47"/>
      <c r="H15" s="85" t="s">
        <v>405</v>
      </c>
      <c r="I15" s="78">
        <f>IF(F16=0,"-",D16/F16)</f>
        <v>0.08</v>
      </c>
      <c r="J15" s="87" t="str">
        <f>IF(I15&lt;=0.05,"🟢 Green",IF(I15&lt;=0.1,"🟡 Amber","🔴 Red"))</f>
        <v>🟡 Amber</v>
      </c>
    </row>
    <row r="16" spans="1:10" x14ac:dyDescent="0.2">
      <c r="A16" s="152" t="s">
        <v>400</v>
      </c>
      <c r="B16" s="153" t="s">
        <v>346</v>
      </c>
      <c r="C16" s="154">
        <v>69</v>
      </c>
      <c r="D16" s="154">
        <v>6</v>
      </c>
      <c r="E16" s="154">
        <v>0</v>
      </c>
      <c r="F16" s="87">
        <f>SUM(C16:E16)</f>
        <v>75</v>
      </c>
      <c r="G16" s="47"/>
      <c r="H16" s="85" t="s">
        <v>406</v>
      </c>
      <c r="I16" s="78">
        <f>IF(F16=0,"-",E16/F16)</f>
        <v>0</v>
      </c>
      <c r="J16" s="87" t="str">
        <f>IF(I16&lt;=0.02,"🟢 Green",IF(I16&lt;=0.05,"🟡 Amber","🔴 Red"))</f>
        <v>🟢 Green</v>
      </c>
    </row>
    <row r="17" spans="1:10" x14ac:dyDescent="0.2">
      <c r="A17" s="97" t="s">
        <v>401</v>
      </c>
      <c r="B17" s="153" t="s">
        <v>346</v>
      </c>
      <c r="C17" s="154">
        <v>2</v>
      </c>
      <c r="D17" s="154">
        <v>2</v>
      </c>
      <c r="E17" s="154">
        <v>1</v>
      </c>
      <c r="F17" s="87">
        <f>SUM(C17:E17)</f>
        <v>5</v>
      </c>
      <c r="G17" s="47"/>
      <c r="H17" s="85" t="s">
        <v>407</v>
      </c>
      <c r="I17" s="78">
        <f>IF(F17=0,"-",C17/F17)</f>
        <v>0.4</v>
      </c>
      <c r="J17" s="87" t="str">
        <f>IF(I17&gt;=0.3,"🟢 Green",IF(I17&gt;=0.15,"🟡 Amber","🔴 Red"))</f>
        <v>🟢 Green</v>
      </c>
    </row>
    <row r="18" spans="1:10" x14ac:dyDescent="0.2">
      <c r="A18" s="95" t="s">
        <v>402</v>
      </c>
      <c r="B18" s="153" t="s">
        <v>346</v>
      </c>
      <c r="C18" s="154">
        <v>0</v>
      </c>
      <c r="D18" s="154">
        <v>0</v>
      </c>
      <c r="E18" s="154">
        <v>0</v>
      </c>
      <c r="F18" s="87">
        <f>SUM(C18:E18)</f>
        <v>0</v>
      </c>
      <c r="G18" s="47"/>
      <c r="H18" s="85" t="s">
        <v>408</v>
      </c>
      <c r="I18" s="78">
        <f>IF(F17=0,"-",E17/F17)</f>
        <v>0.2</v>
      </c>
      <c r="J18" s="87" t="str">
        <f>IF(I18&lt;=0.1,"🟢 Green",IF(I18&lt;=0.2,"🟡 Amber","🔴 Red"))</f>
        <v>🟡 Amber</v>
      </c>
    </row>
    <row r="19" spans="1:10" x14ac:dyDescent="0.2">
      <c r="A19" s="79" t="s">
        <v>403</v>
      </c>
      <c r="B19" s="80"/>
      <c r="C19" s="81">
        <f>SUM(C16:C18)</f>
        <v>71</v>
      </c>
      <c r="D19" s="81">
        <f>SUM(D16:D18)</f>
        <v>8</v>
      </c>
      <c r="E19" s="81">
        <f>SUM(E16:E18)</f>
        <v>1</v>
      </c>
      <c r="F19" s="131">
        <f>SUM(F16:F18)</f>
        <v>80</v>
      </c>
      <c r="G19" s="47"/>
      <c r="H19" s="88" t="s">
        <v>409</v>
      </c>
      <c r="I19" s="155">
        <f>D16+E16-C17</f>
        <v>4</v>
      </c>
      <c r="J19" s="90" t="str">
        <f>IF(I19&lt;=2,"🟢 Green",IF(I19&lt;=5,"🟡 Amber","🔴 Red"))</f>
        <v>🟡 Amber</v>
      </c>
    </row>
    <row r="20" spans="1:10" x14ac:dyDescent="0.2">
      <c r="A20" s="47"/>
      <c r="B20" s="47"/>
      <c r="C20" s="47"/>
      <c r="D20" s="47"/>
      <c r="E20" s="47"/>
      <c r="F20" s="47"/>
      <c r="G20" s="47"/>
      <c r="H20" s="47"/>
      <c r="I20" s="47"/>
      <c r="J20" s="47"/>
    </row>
    <row r="21" spans="1:10" x14ac:dyDescent="0.2">
      <c r="A21" s="105" t="s">
        <v>410</v>
      </c>
      <c r="B21" s="48"/>
      <c r="C21" s="48"/>
      <c r="D21" s="48"/>
      <c r="E21" s="48"/>
      <c r="F21" s="48"/>
      <c r="G21" s="48"/>
      <c r="H21" s="48"/>
      <c r="I21" s="48"/>
      <c r="J21" s="48"/>
    </row>
    <row r="22" spans="1:10" x14ac:dyDescent="0.2">
      <c r="A22" s="72" t="s">
        <v>411</v>
      </c>
      <c r="B22" s="73" t="s">
        <v>412</v>
      </c>
      <c r="C22" s="73" t="s">
        <v>413</v>
      </c>
      <c r="D22" s="73" t="s">
        <v>414</v>
      </c>
      <c r="E22" s="73" t="s">
        <v>415</v>
      </c>
      <c r="F22" s="73" t="s">
        <v>416</v>
      </c>
      <c r="G22" s="74" t="s">
        <v>339</v>
      </c>
      <c r="H22" s="47"/>
      <c r="I22" s="47"/>
      <c r="J22" s="47"/>
    </row>
    <row r="23" spans="1:10" x14ac:dyDescent="0.2">
      <c r="A23" s="85" t="s">
        <v>417</v>
      </c>
      <c r="B23" s="154">
        <v>75</v>
      </c>
      <c r="C23" s="154">
        <v>5</v>
      </c>
      <c r="D23" s="76">
        <f>B23-C23</f>
        <v>70</v>
      </c>
      <c r="E23" s="78">
        <f>C23/B23</f>
        <v>6.6666666666666666E-2</v>
      </c>
      <c r="F23" s="156">
        <v>95.4</v>
      </c>
      <c r="G23" s="87" t="str">
        <f>IF(E23&lt;=0.05,"🟢 Green",IF(E23&lt;=0.1,"🟡 Amber","🔴 Red"))</f>
        <v>🟡 Amber</v>
      </c>
      <c r="H23" s="47"/>
      <c r="I23" s="47"/>
      <c r="J23" s="47"/>
    </row>
    <row r="24" spans="1:10" x14ac:dyDescent="0.2">
      <c r="A24" s="85" t="s">
        <v>418</v>
      </c>
      <c r="B24" s="154">
        <v>8</v>
      </c>
      <c r="C24" s="154">
        <v>2</v>
      </c>
      <c r="D24" s="76">
        <f>B24-C24</f>
        <v>6</v>
      </c>
      <c r="E24" s="78">
        <f>C24/B24</f>
        <v>0.25</v>
      </c>
      <c r="F24" s="157">
        <v>28.59</v>
      </c>
      <c r="G24" s="87" t="str">
        <f>IF(E24&lt;=0.15,"🟢 Green",IF(E24&lt;=0.3,"🟡 Amber","🔴 Red"))</f>
        <v>🟡 Amber</v>
      </c>
      <c r="H24" s="47"/>
      <c r="I24" s="47"/>
      <c r="J24" s="47"/>
    </row>
    <row r="25" spans="1:10" x14ac:dyDescent="0.2">
      <c r="A25" s="85" t="s">
        <v>419</v>
      </c>
      <c r="B25" s="154">
        <v>3</v>
      </c>
      <c r="C25" s="154">
        <v>0</v>
      </c>
      <c r="D25" s="76">
        <f>B25-C25</f>
        <v>3</v>
      </c>
      <c r="E25" s="78">
        <f>IF(B25=0,"-",C25/B25)</f>
        <v>0</v>
      </c>
      <c r="F25" s="157">
        <v>0</v>
      </c>
      <c r="G25" s="87" t="str">
        <f>IF(E25="-","🟢 Green",IF(E25&lt;=0.2,"🟢 Green",IF(E25&lt;=0.4,"🟡 Amber","🔴 Red")))</f>
        <v>🟢 Green</v>
      </c>
      <c r="H25" s="47"/>
      <c r="I25" s="47"/>
      <c r="J25" s="47"/>
    </row>
    <row r="26" spans="1:10" x14ac:dyDescent="0.2">
      <c r="A26" s="85" t="s">
        <v>420</v>
      </c>
      <c r="B26" s="154">
        <v>1</v>
      </c>
      <c r="C26" s="154">
        <v>1</v>
      </c>
      <c r="D26" s="76">
        <f>B26-C26</f>
        <v>0</v>
      </c>
      <c r="E26" s="78">
        <f>IF(B26=0,"-",C26/B26)</f>
        <v>1</v>
      </c>
      <c r="F26" s="157">
        <v>3.59</v>
      </c>
      <c r="G26" s="87" t="str">
        <f>IF(E26="-","🟢 Green",IF(E26&lt;=0.3,"🟢 Green",IF(E26&lt;=0.5,"🟡 Amber","🔴 Red")))</f>
        <v>🔴 Red</v>
      </c>
      <c r="H26" s="47"/>
      <c r="I26" s="47"/>
      <c r="J26" s="47"/>
    </row>
    <row r="27" spans="1:10" x14ac:dyDescent="0.2">
      <c r="A27" s="158"/>
      <c r="B27" s="159"/>
      <c r="C27" s="159"/>
      <c r="D27" s="159"/>
      <c r="E27" s="159"/>
      <c r="F27" s="159"/>
      <c r="G27" s="160"/>
      <c r="H27" s="47"/>
      <c r="I27" s="47"/>
      <c r="J27" s="47"/>
    </row>
    <row r="28" spans="1:10" x14ac:dyDescent="0.2">
      <c r="A28" s="161" t="s">
        <v>421</v>
      </c>
      <c r="B28" s="162"/>
      <c r="C28" s="162"/>
      <c r="D28" s="162"/>
      <c r="E28" s="163">
        <f>E23*E24*E26</f>
        <v>1.6666666666666666E-2</v>
      </c>
      <c r="F28" s="164">
        <f>SUM('Raw Data'!K2:K81)*E28</f>
        <v>25.938166666666675</v>
      </c>
      <c r="G28" s="165"/>
      <c r="H28" s="47"/>
      <c r="I28" s="47"/>
      <c r="J28" s="47"/>
    </row>
  </sheetData>
  <mergeCells count="2">
    <mergeCell ref="A1:J1"/>
    <mergeCell ref="A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9895-F6B5-3D45-8E66-025B92CAC7D8}">
  <dimension ref="A1:K39"/>
  <sheetViews>
    <sheetView zoomScale="140" zoomScaleNormal="140" workbookViewId="0">
      <selection activeCell="E41" sqref="E41"/>
    </sheetView>
  </sheetViews>
  <sheetFormatPr baseColWidth="10" defaultRowHeight="16" x14ac:dyDescent="0.2"/>
  <cols>
    <col min="1" max="1" width="33.33203125" customWidth="1"/>
    <col min="2" max="8" width="20" customWidth="1"/>
    <col min="9" max="9" width="20" style="255" customWidth="1"/>
    <col min="10" max="11" width="20" customWidth="1"/>
  </cols>
  <sheetData>
    <row r="1" spans="1:11" ht="35" customHeight="1" x14ac:dyDescent="0.25">
      <c r="A1" s="135" t="s">
        <v>422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pans="1:11" ht="22" customHeight="1" x14ac:dyDescent="0.2">
      <c r="A2" s="128" t="s">
        <v>423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</row>
    <row r="4" spans="1:11" x14ac:dyDescent="0.2">
      <c r="A4" s="105" t="s">
        <v>424</v>
      </c>
      <c r="B4" s="48"/>
      <c r="C4" s="48"/>
      <c r="D4" s="48"/>
      <c r="E4" s="48"/>
      <c r="F4" s="48"/>
      <c r="G4" s="48"/>
      <c r="H4" s="48"/>
      <c r="I4" s="243"/>
      <c r="J4" s="48"/>
      <c r="K4" s="48"/>
    </row>
    <row r="5" spans="1:11" x14ac:dyDescent="0.2">
      <c r="A5" s="72" t="s">
        <v>329</v>
      </c>
      <c r="B5" s="73" t="s">
        <v>425</v>
      </c>
      <c r="C5" s="73" t="s">
        <v>426</v>
      </c>
      <c r="D5" s="73" t="s">
        <v>427</v>
      </c>
      <c r="E5" s="73" t="s">
        <v>428</v>
      </c>
      <c r="F5" s="73" t="s">
        <v>429</v>
      </c>
      <c r="G5" s="73" t="s">
        <v>430</v>
      </c>
      <c r="H5" s="73" t="s">
        <v>431</v>
      </c>
      <c r="I5" s="244" t="s">
        <v>432</v>
      </c>
      <c r="J5" s="73" t="s">
        <v>433</v>
      </c>
      <c r="K5" s="74" t="s">
        <v>434</v>
      </c>
    </row>
    <row r="6" spans="1:11" x14ac:dyDescent="0.2">
      <c r="A6" s="85" t="s">
        <v>330</v>
      </c>
      <c r="B6" s="76" t="s">
        <v>435</v>
      </c>
      <c r="C6" s="167">
        <v>83.5</v>
      </c>
      <c r="D6" s="86">
        <v>2.8000000000000001E-2</v>
      </c>
      <c r="E6" s="86">
        <v>4.4999999999999998E-2</v>
      </c>
      <c r="F6" s="86">
        <v>-1.7999999999999999E-2</v>
      </c>
      <c r="G6" s="77">
        <f>SUMIFS('Raw Data'!K$2:K$81,'Raw Data'!B$2:B$81,$A6)</f>
        <v>558.09</v>
      </c>
      <c r="H6" s="77">
        <f>G6*ABS(F6)</f>
        <v>10.04562</v>
      </c>
      <c r="I6" s="245" t="s">
        <v>36</v>
      </c>
      <c r="J6" s="168" t="s">
        <v>436</v>
      </c>
      <c r="K6" s="87" t="str">
        <f>IF(ABS(F6)&gt;0.1,"🔴 High",IF(ABS(F6)&gt;0.05,"🟡 Medium","🟢 Low"))</f>
        <v>🟢 Low</v>
      </c>
    </row>
    <row r="7" spans="1:11" x14ac:dyDescent="0.2">
      <c r="A7" s="85" t="s">
        <v>331</v>
      </c>
      <c r="B7" s="76" t="s">
        <v>437</v>
      </c>
      <c r="C7" s="167">
        <v>278.5</v>
      </c>
      <c r="D7" s="86">
        <v>6.5000000000000002E-2</v>
      </c>
      <c r="E7" s="86">
        <v>0.11</v>
      </c>
      <c r="F7" s="86">
        <v>-8.5000000000000006E-2</v>
      </c>
      <c r="G7" s="77">
        <f>SUMIFS('Raw Data'!K$2:K$81,'Raw Data'!B$2:B$81,$A7)</f>
        <v>198.29</v>
      </c>
      <c r="H7" s="77">
        <f>G7*ABS(F7)</f>
        <v>16.854649999999999</v>
      </c>
      <c r="I7" s="246" t="s">
        <v>438</v>
      </c>
      <c r="J7" s="170" t="s">
        <v>439</v>
      </c>
      <c r="K7" s="87" t="str">
        <f>IF(ABS(F7)&gt;0.1,"🔴 High",IF(ABS(F7)&gt;0.05,"🟡 Medium","🟢 Low"))</f>
        <v>🟡 Medium</v>
      </c>
    </row>
    <row r="8" spans="1:11" x14ac:dyDescent="0.2">
      <c r="A8" s="85" t="s">
        <v>333</v>
      </c>
      <c r="B8" s="76" t="s">
        <v>440</v>
      </c>
      <c r="C8" s="167">
        <v>50.8</v>
      </c>
      <c r="D8" s="86">
        <v>8.2000000000000003E-2</v>
      </c>
      <c r="E8" s="86">
        <v>0.14499999999999999</v>
      </c>
      <c r="F8" s="86">
        <v>-0.12</v>
      </c>
      <c r="G8" s="77">
        <f>SUMIFS('Raw Data'!K$2:K$81,'Raw Data'!B$2:B$81,$A8)</f>
        <v>433.57</v>
      </c>
      <c r="H8" s="77">
        <f>G8*ABS(F8)</f>
        <v>52.028399999999998</v>
      </c>
      <c r="I8" s="247" t="s">
        <v>144</v>
      </c>
      <c r="J8" s="96" t="s">
        <v>441</v>
      </c>
      <c r="K8" s="87" t="str">
        <f>IF(ABS(F8)&gt;0.1,"🔴 High",IF(ABS(F8)&gt;0.05,"🟡 Medium","🟢 Low"))</f>
        <v>🔴 High</v>
      </c>
    </row>
    <row r="9" spans="1:11" x14ac:dyDescent="0.2">
      <c r="A9" s="85" t="s">
        <v>332</v>
      </c>
      <c r="B9" s="76" t="s">
        <v>442</v>
      </c>
      <c r="C9" s="167">
        <v>117.2</v>
      </c>
      <c r="D9" s="86">
        <v>1.4999999999999999E-2</v>
      </c>
      <c r="E9" s="86">
        <v>2.5000000000000001E-2</v>
      </c>
      <c r="F9" s="86">
        <v>-2.1999999999999999E-2</v>
      </c>
      <c r="G9" s="77">
        <f>SUMIFS('Raw Data'!K$2:K$81,'Raw Data'!B$2:B$81,$A9)</f>
        <v>333.65000000000003</v>
      </c>
      <c r="H9" s="77">
        <f>G9*ABS(F9)</f>
        <v>7.3403</v>
      </c>
      <c r="I9" s="245" t="s">
        <v>36</v>
      </c>
      <c r="J9" s="168" t="s">
        <v>436</v>
      </c>
      <c r="K9" s="87" t="str">
        <f>IF(ABS(F9)&gt;0.1,"🔴 High",IF(ABS(F9)&gt;0.05,"🟡 Medium","🟢 Low"))</f>
        <v>🟢 Low</v>
      </c>
    </row>
    <row r="10" spans="1:11" x14ac:dyDescent="0.2">
      <c r="A10" s="85" t="s">
        <v>334</v>
      </c>
      <c r="B10" s="76" t="s">
        <v>443</v>
      </c>
      <c r="C10" s="92">
        <v>4150</v>
      </c>
      <c r="D10" s="86">
        <v>4.2000000000000003E-2</v>
      </c>
      <c r="E10" s="86">
        <v>6.8000000000000005E-2</v>
      </c>
      <c r="F10" s="86">
        <v>-3.5000000000000003E-2</v>
      </c>
      <c r="G10" s="77">
        <f>SUMIFS('Raw Data'!K$2:K$81,'Raw Data'!B$2:B$81,$A10)</f>
        <v>32.69</v>
      </c>
      <c r="H10" s="77">
        <f>G10*ABS(F10)</f>
        <v>1.14415</v>
      </c>
      <c r="I10" s="245" t="s">
        <v>36</v>
      </c>
      <c r="J10" s="169" t="s">
        <v>444</v>
      </c>
      <c r="K10" s="87" t="str">
        <f>IF(ABS(F10)&gt;0.1,"🔴 High",IF(ABS(F10)&gt;0.05,"🟡 Medium","🟢 Low"))</f>
        <v>🟢 Low</v>
      </c>
    </row>
    <row r="11" spans="1:11" x14ac:dyDescent="0.2">
      <c r="A11" s="79" t="s">
        <v>445</v>
      </c>
      <c r="B11" s="80"/>
      <c r="C11" s="80"/>
      <c r="D11" s="80"/>
      <c r="E11" s="80"/>
      <c r="F11" s="80"/>
      <c r="G11" s="82">
        <f>SUM(G6:G10)</f>
        <v>1556.2900000000002</v>
      </c>
      <c r="H11" s="82">
        <f>SUM(H6:H10)</f>
        <v>87.413119999999992</v>
      </c>
      <c r="I11" s="248"/>
      <c r="J11" s="80"/>
      <c r="K11" s="84"/>
    </row>
    <row r="12" spans="1:11" x14ac:dyDescent="0.2">
      <c r="A12" s="47"/>
      <c r="B12" s="47"/>
      <c r="C12" s="47"/>
      <c r="D12" s="47"/>
      <c r="E12" s="47"/>
      <c r="F12" s="47"/>
      <c r="G12" s="47"/>
      <c r="H12" s="47"/>
      <c r="I12" s="249"/>
      <c r="J12" s="47"/>
      <c r="K12" s="47"/>
    </row>
    <row r="13" spans="1:11" x14ac:dyDescent="0.2">
      <c r="A13" s="105" t="s">
        <v>446</v>
      </c>
      <c r="B13" s="48"/>
      <c r="C13" s="48"/>
      <c r="D13" s="48"/>
      <c r="E13" s="48"/>
      <c r="F13" s="48"/>
      <c r="G13" s="48"/>
      <c r="H13" s="48"/>
      <c r="I13" s="243"/>
      <c r="J13" s="48"/>
      <c r="K13" s="48"/>
    </row>
    <row r="14" spans="1:11" x14ac:dyDescent="0.2">
      <c r="A14" s="72" t="s">
        <v>447</v>
      </c>
      <c r="B14" s="73" t="s">
        <v>448</v>
      </c>
      <c r="C14" s="73" t="s">
        <v>449</v>
      </c>
      <c r="D14" s="73" t="s">
        <v>450</v>
      </c>
      <c r="E14" s="73" t="s">
        <v>451</v>
      </c>
      <c r="F14" s="73" t="s">
        <v>452</v>
      </c>
      <c r="G14" s="171" t="s">
        <v>453</v>
      </c>
      <c r="H14" s="171"/>
      <c r="I14" s="171"/>
      <c r="J14" s="73" t="s">
        <v>454</v>
      </c>
      <c r="K14" s="74" t="s">
        <v>339</v>
      </c>
    </row>
    <row r="15" spans="1:11" x14ac:dyDescent="0.2">
      <c r="A15" s="85" t="s">
        <v>455</v>
      </c>
      <c r="B15" s="154" t="s">
        <v>456</v>
      </c>
      <c r="C15" s="172" t="s">
        <v>457</v>
      </c>
      <c r="D15" s="154">
        <v>95</v>
      </c>
      <c r="E15" s="167">
        <v>46183</v>
      </c>
      <c r="F15" s="172" t="s">
        <v>458</v>
      </c>
      <c r="G15" s="75" t="s">
        <v>459</v>
      </c>
      <c r="H15" s="75"/>
      <c r="I15" s="245"/>
      <c r="J15" s="173">
        <v>3</v>
      </c>
      <c r="K15" s="87" t="str">
        <f>IF(J15&gt;=7,"🔴 High",IF(J15&gt;=4,"🟡 Medium","🟢 Low"))</f>
        <v>🟢 Low</v>
      </c>
    </row>
    <row r="16" spans="1:11" x14ac:dyDescent="0.2">
      <c r="A16" s="85" t="s">
        <v>460</v>
      </c>
      <c r="B16" s="154" t="s">
        <v>461</v>
      </c>
      <c r="C16" s="98" t="s">
        <v>457</v>
      </c>
      <c r="D16" s="154">
        <v>680</v>
      </c>
      <c r="E16" s="167">
        <v>46091</v>
      </c>
      <c r="F16" s="172" t="s">
        <v>458</v>
      </c>
      <c r="G16" s="75" t="s">
        <v>462</v>
      </c>
      <c r="H16" s="75"/>
      <c r="I16" s="245"/>
      <c r="J16" s="173">
        <v>7</v>
      </c>
      <c r="K16" s="87" t="str">
        <f>IF(J16&gt;=7,"🔴 High",IF(J16&gt;=4,"🟡 Medium","🟢 Low"))</f>
        <v>🔴 High</v>
      </c>
    </row>
    <row r="17" spans="1:11" x14ac:dyDescent="0.2">
      <c r="A17" s="85" t="s">
        <v>463</v>
      </c>
      <c r="B17" s="154" t="s">
        <v>464</v>
      </c>
      <c r="C17" s="172" t="s">
        <v>465</v>
      </c>
      <c r="D17" s="154">
        <v>550</v>
      </c>
      <c r="E17" s="167">
        <v>46122</v>
      </c>
      <c r="F17" s="172" t="s">
        <v>458</v>
      </c>
      <c r="G17" s="75" t="s">
        <v>466</v>
      </c>
      <c r="H17" s="75"/>
      <c r="I17" s="245"/>
      <c r="J17" s="173">
        <v>7</v>
      </c>
      <c r="K17" s="87" t="str">
        <f>IF(J17&gt;=7,"🔴 High",IF(J17&gt;=4,"🟡 Medium","🟢 Low"))</f>
        <v>🔴 High</v>
      </c>
    </row>
    <row r="18" spans="1:11" x14ac:dyDescent="0.2">
      <c r="A18" s="85" t="s">
        <v>467</v>
      </c>
      <c r="B18" s="154" t="s">
        <v>92</v>
      </c>
      <c r="C18" s="172" t="s">
        <v>465</v>
      </c>
      <c r="D18" s="154">
        <v>180</v>
      </c>
      <c r="E18" s="167">
        <v>46152</v>
      </c>
      <c r="F18" s="169" t="s">
        <v>468</v>
      </c>
      <c r="G18" s="75" t="s">
        <v>469</v>
      </c>
      <c r="H18" s="75"/>
      <c r="I18" s="245"/>
      <c r="J18" s="173">
        <v>5</v>
      </c>
      <c r="K18" s="87" t="str">
        <f>IF(J18&gt;=7,"🔴 High",IF(J18&gt;=4,"🟡 Medium","🟢 Low"))</f>
        <v>🟡 Medium</v>
      </c>
    </row>
    <row r="19" spans="1:11" x14ac:dyDescent="0.2">
      <c r="A19" s="85" t="s">
        <v>470</v>
      </c>
      <c r="B19" s="154" t="s">
        <v>92</v>
      </c>
      <c r="C19" s="172" t="s">
        <v>457</v>
      </c>
      <c r="D19" s="154">
        <v>220</v>
      </c>
      <c r="E19" s="167">
        <v>46152</v>
      </c>
      <c r="F19" s="172" t="s">
        <v>458</v>
      </c>
      <c r="G19" s="75" t="s">
        <v>471</v>
      </c>
      <c r="H19" s="75"/>
      <c r="I19" s="245"/>
      <c r="J19" s="173">
        <v>4</v>
      </c>
      <c r="K19" s="87" t="str">
        <f>IF(J19&gt;=7,"🔴 High",IF(J19&gt;=4,"🟡 Medium","🟢 Low"))</f>
        <v>🟡 Medium</v>
      </c>
    </row>
    <row r="20" spans="1:11" x14ac:dyDescent="0.2">
      <c r="A20" s="174" t="s">
        <v>472</v>
      </c>
      <c r="B20" s="175" t="s">
        <v>473</v>
      </c>
      <c r="C20" s="99" t="s">
        <v>474</v>
      </c>
      <c r="D20" s="175">
        <v>450</v>
      </c>
      <c r="E20" s="242">
        <v>46091</v>
      </c>
      <c r="F20" s="176" t="s">
        <v>475</v>
      </c>
      <c r="G20" s="177" t="s">
        <v>476</v>
      </c>
      <c r="H20" s="177"/>
      <c r="I20" s="250"/>
      <c r="J20" s="178">
        <v>8</v>
      </c>
      <c r="K20" s="90" t="str">
        <f>IF(J20&gt;=7,"🔴 High",IF(J20&gt;=4,"🟡 Medium","🟢 Low"))</f>
        <v>🔴 High</v>
      </c>
    </row>
    <row r="21" spans="1:11" x14ac:dyDescent="0.2">
      <c r="A21" s="59" t="s">
        <v>477</v>
      </c>
      <c r="B21" s="48"/>
      <c r="C21" s="48"/>
      <c r="D21" s="48"/>
      <c r="E21" s="48"/>
      <c r="F21" s="48"/>
      <c r="G21" s="48"/>
      <c r="H21" s="48"/>
      <c r="I21" s="243"/>
      <c r="J21" s="61">
        <f>SUMPRODUCT(J15:J19,G6:G10)/SUM(G6:G10)</f>
        <v>5.0737972999890761</v>
      </c>
      <c r="K21" s="60" t="str">
        <f>IF(J21&gt;=7,"🔴 High",IF(J21&gt;=4,"🟡 Medium","🟢 Low"))</f>
        <v>🟡 Medium</v>
      </c>
    </row>
    <row r="22" spans="1:11" x14ac:dyDescent="0.2">
      <c r="A22" s="47"/>
      <c r="B22" s="47"/>
      <c r="C22" s="47"/>
      <c r="D22" s="47"/>
      <c r="E22" s="47"/>
      <c r="F22" s="47"/>
      <c r="G22" s="47"/>
      <c r="H22" s="47"/>
      <c r="I22" s="249"/>
      <c r="J22" s="47"/>
      <c r="K22" s="47"/>
    </row>
    <row r="23" spans="1:11" x14ac:dyDescent="0.2">
      <c r="A23" s="105" t="s">
        <v>478</v>
      </c>
      <c r="B23" s="48"/>
      <c r="C23" s="48"/>
      <c r="D23" s="48"/>
      <c r="E23" s="48"/>
      <c r="F23" s="48"/>
      <c r="G23" s="48"/>
      <c r="H23" s="48"/>
      <c r="I23" s="243"/>
      <c r="J23" s="48"/>
      <c r="K23" s="48"/>
    </row>
    <row r="24" spans="1:11" x14ac:dyDescent="0.2">
      <c r="A24" s="72" t="s">
        <v>447</v>
      </c>
      <c r="B24" s="73" t="s">
        <v>479</v>
      </c>
      <c r="C24" s="73" t="s">
        <v>480</v>
      </c>
      <c r="D24" s="73" t="s">
        <v>481</v>
      </c>
      <c r="E24" s="73" t="s">
        <v>482</v>
      </c>
      <c r="F24" s="73" t="s">
        <v>483</v>
      </c>
      <c r="G24" s="73" t="s">
        <v>484</v>
      </c>
      <c r="H24" s="73" t="s">
        <v>485</v>
      </c>
      <c r="I24" s="171" t="s">
        <v>486</v>
      </c>
      <c r="J24" s="171"/>
      <c r="K24" s="74" t="s">
        <v>487</v>
      </c>
    </row>
    <row r="25" spans="1:11" x14ac:dyDescent="0.2">
      <c r="A25" s="85" t="s">
        <v>455</v>
      </c>
      <c r="B25" s="76" t="s">
        <v>488</v>
      </c>
      <c r="C25" s="179">
        <v>6.5000000000000002E-2</v>
      </c>
      <c r="D25" s="76" t="s">
        <v>489</v>
      </c>
      <c r="E25" s="76" t="s">
        <v>490</v>
      </c>
      <c r="F25" s="172" t="s">
        <v>491</v>
      </c>
      <c r="G25" s="76" t="s">
        <v>492</v>
      </c>
      <c r="H25" s="172" t="s">
        <v>493</v>
      </c>
      <c r="I25" s="245" t="s">
        <v>494</v>
      </c>
      <c r="J25" s="75"/>
      <c r="K25" s="87" t="s">
        <v>495</v>
      </c>
    </row>
    <row r="26" spans="1:11" x14ac:dyDescent="0.2">
      <c r="A26" s="85" t="s">
        <v>460</v>
      </c>
      <c r="B26" s="76" t="s">
        <v>496</v>
      </c>
      <c r="C26" s="179">
        <v>0.17499999999999999</v>
      </c>
      <c r="D26" s="172" t="s">
        <v>497</v>
      </c>
      <c r="E26" s="76" t="s">
        <v>498</v>
      </c>
      <c r="F26" s="170" t="s">
        <v>499</v>
      </c>
      <c r="G26" s="75" t="s">
        <v>500</v>
      </c>
      <c r="H26" s="98" t="s">
        <v>501</v>
      </c>
      <c r="I26" s="245" t="s">
        <v>502</v>
      </c>
      <c r="J26" s="75"/>
      <c r="K26" s="87" t="s">
        <v>503</v>
      </c>
    </row>
    <row r="27" spans="1:11" x14ac:dyDescent="0.2">
      <c r="A27" s="85" t="s">
        <v>463</v>
      </c>
      <c r="B27" s="76" t="s">
        <v>504</v>
      </c>
      <c r="C27" s="179">
        <v>0.27750000000000002</v>
      </c>
      <c r="D27" s="76" t="s">
        <v>489</v>
      </c>
      <c r="E27" s="76" t="s">
        <v>505</v>
      </c>
      <c r="F27" s="169" t="s">
        <v>506</v>
      </c>
      <c r="G27" s="76" t="s">
        <v>507</v>
      </c>
      <c r="H27" s="98" t="s">
        <v>508</v>
      </c>
      <c r="I27" s="245" t="s">
        <v>509</v>
      </c>
      <c r="J27" s="75"/>
      <c r="K27" s="87" t="s">
        <v>503</v>
      </c>
    </row>
    <row r="28" spans="1:11" x14ac:dyDescent="0.2">
      <c r="A28" s="85" t="s">
        <v>467</v>
      </c>
      <c r="B28" s="76" t="s">
        <v>510</v>
      </c>
      <c r="C28" s="179">
        <v>5.7500000000000002E-2</v>
      </c>
      <c r="D28" s="172" t="s">
        <v>497</v>
      </c>
      <c r="E28" s="76" t="s">
        <v>511</v>
      </c>
      <c r="F28" s="172" t="s">
        <v>491</v>
      </c>
      <c r="G28" s="75" t="s">
        <v>512</v>
      </c>
      <c r="H28" s="172" t="s">
        <v>513</v>
      </c>
      <c r="I28" s="251" t="s">
        <v>514</v>
      </c>
      <c r="J28" s="75"/>
      <c r="K28" s="87" t="s">
        <v>495</v>
      </c>
    </row>
    <row r="29" spans="1:11" x14ac:dyDescent="0.2">
      <c r="A29" s="85" t="s">
        <v>470</v>
      </c>
      <c r="B29" s="76" t="s">
        <v>515</v>
      </c>
      <c r="C29" s="179">
        <v>9.7500000000000003E-2</v>
      </c>
      <c r="D29" s="172" t="s">
        <v>497</v>
      </c>
      <c r="E29" s="76" t="s">
        <v>498</v>
      </c>
      <c r="F29" s="172" t="s">
        <v>491</v>
      </c>
      <c r="G29" s="75" t="s">
        <v>516</v>
      </c>
      <c r="H29" s="172" t="s">
        <v>517</v>
      </c>
      <c r="I29" s="251" t="s">
        <v>518</v>
      </c>
      <c r="J29" s="75"/>
      <c r="K29" s="87" t="s">
        <v>519</v>
      </c>
    </row>
    <row r="30" spans="1:11" x14ac:dyDescent="0.2">
      <c r="A30" s="174" t="s">
        <v>520</v>
      </c>
      <c r="B30" s="89" t="s">
        <v>521</v>
      </c>
      <c r="C30" s="180">
        <v>5.1499999999999997E-2</v>
      </c>
      <c r="D30" s="181" t="s">
        <v>522</v>
      </c>
      <c r="E30" s="89" t="s">
        <v>490</v>
      </c>
      <c r="F30" s="181" t="s">
        <v>491</v>
      </c>
      <c r="G30" s="177" t="s">
        <v>523</v>
      </c>
      <c r="H30" s="181" t="s">
        <v>493</v>
      </c>
      <c r="I30" s="252" t="s">
        <v>524</v>
      </c>
      <c r="J30" s="177"/>
      <c r="K30" s="90" t="s">
        <v>495</v>
      </c>
    </row>
    <row r="31" spans="1:11" x14ac:dyDescent="0.2">
      <c r="A31" s="47"/>
      <c r="B31" s="47"/>
      <c r="C31" s="47"/>
      <c r="D31" s="47"/>
      <c r="E31" s="47"/>
      <c r="F31" s="47"/>
      <c r="G31" s="47"/>
      <c r="H31" s="47"/>
      <c r="I31" s="249"/>
      <c r="J31" s="47"/>
      <c r="K31" s="47"/>
    </row>
    <row r="32" spans="1:11" x14ac:dyDescent="0.2">
      <c r="A32" s="105" t="s">
        <v>525</v>
      </c>
      <c r="B32" s="48"/>
      <c r="C32" s="48"/>
      <c r="D32" s="48"/>
      <c r="E32" s="48"/>
      <c r="F32" s="48"/>
      <c r="G32" s="48"/>
      <c r="H32" s="48"/>
      <c r="I32" s="243"/>
      <c r="J32" s="48"/>
      <c r="K32" s="48"/>
    </row>
    <row r="33" spans="1:11" x14ac:dyDescent="0.2">
      <c r="A33" s="72" t="s">
        <v>329</v>
      </c>
      <c r="B33" s="73" t="s">
        <v>526</v>
      </c>
      <c r="C33" s="73" t="s">
        <v>527</v>
      </c>
      <c r="D33" s="73" t="s">
        <v>528</v>
      </c>
      <c r="E33" s="73" t="s">
        <v>529</v>
      </c>
      <c r="F33" s="73" t="s">
        <v>530</v>
      </c>
      <c r="G33" s="73" t="s">
        <v>531</v>
      </c>
      <c r="H33" s="73" t="s">
        <v>347</v>
      </c>
      <c r="I33" s="244" t="s">
        <v>532</v>
      </c>
      <c r="J33" s="73" t="s">
        <v>314</v>
      </c>
      <c r="K33" s="74" t="s">
        <v>533</v>
      </c>
    </row>
    <row r="34" spans="1:11" x14ac:dyDescent="0.2">
      <c r="A34" s="85" t="s">
        <v>330</v>
      </c>
      <c r="B34" s="141">
        <f>'EWS Dashboard'!H6</f>
        <v>0.34482758620689657</v>
      </c>
      <c r="C34" s="141">
        <f>ABS(F6)*100</f>
        <v>1.7999999999999998</v>
      </c>
      <c r="D34" s="182">
        <f>J15</f>
        <v>3</v>
      </c>
      <c r="E34" s="154">
        <v>2</v>
      </c>
      <c r="F34" s="183">
        <f>MIN(10,(B34*2+C34+D34*2+E34)/6*10/5)</f>
        <v>3.4965517241379311</v>
      </c>
      <c r="G34" s="77">
        <f>G6</f>
        <v>558.09</v>
      </c>
      <c r="H34" s="78">
        <f>G34/SUM(G$34:G$38)</f>
        <v>0.35860283109189162</v>
      </c>
      <c r="I34" s="253">
        <f>G34*F34/10</f>
        <v>195.1390551724138</v>
      </c>
      <c r="J34" s="76" t="str">
        <f>IF(F34&gt;=7,"CRO Escalation Required",IF(F34&gt;=4,"Enhanced Monitoring","Routine Review"))</f>
        <v>Routine Review</v>
      </c>
      <c r="K34" s="87" t="str">
        <f>IF(F34&gt;=7,"🔴 Critical",IF(F34&gt;=4,"🟡 Elevated","🟢 Normal"))</f>
        <v>🟢 Normal</v>
      </c>
    </row>
    <row r="35" spans="1:11" x14ac:dyDescent="0.2">
      <c r="A35" s="85" t="s">
        <v>331</v>
      </c>
      <c r="B35" s="141">
        <f>'EWS Dashboard'!H7</f>
        <v>0.83333333333333337</v>
      </c>
      <c r="C35" s="141">
        <f>ABS(F7)*100</f>
        <v>8.5</v>
      </c>
      <c r="D35" s="182">
        <f>J16</f>
        <v>7</v>
      </c>
      <c r="E35" s="154">
        <v>8</v>
      </c>
      <c r="F35" s="183">
        <f>MIN(10,(B35*2+C35+D35*2+E35)/6*10/5)</f>
        <v>10</v>
      </c>
      <c r="G35" s="77">
        <f>G7</f>
        <v>198.29</v>
      </c>
      <c r="H35" s="78">
        <f>G35/SUM(G$34:G$38)</f>
        <v>0.12741198619794508</v>
      </c>
      <c r="I35" s="253">
        <f>G35*F35/10</f>
        <v>198.29</v>
      </c>
      <c r="J35" s="76" t="str">
        <f>IF(F35&gt;=7,"CRO Escalation Required",IF(F35&gt;=4,"Enhanced Monitoring","Routine Review"))</f>
        <v>CRO Escalation Required</v>
      </c>
      <c r="K35" s="87" t="str">
        <f>IF(F35&gt;=7,"🔴 Critical",IF(F35&gt;=4,"🟡 Elevated","🟢 Normal"))</f>
        <v>🔴 Critical</v>
      </c>
    </row>
    <row r="36" spans="1:11" x14ac:dyDescent="0.2">
      <c r="A36" s="85" t="s">
        <v>333</v>
      </c>
      <c r="B36" s="141">
        <f>'EWS Dashboard'!H8</f>
        <v>1.2105263157894737</v>
      </c>
      <c r="C36" s="141">
        <f>ABS(F8)*100</f>
        <v>12</v>
      </c>
      <c r="D36" s="182">
        <f>J17</f>
        <v>7</v>
      </c>
      <c r="E36" s="154">
        <v>8</v>
      </c>
      <c r="F36" s="183">
        <f>MIN(10,(B36*2+C36+D36*2+E36)/6*10/5)</f>
        <v>10</v>
      </c>
      <c r="G36" s="77">
        <f>G8</f>
        <v>433.57</v>
      </c>
      <c r="H36" s="78">
        <f>G36/SUM(G$34:G$38)</f>
        <v>0.27859203618862804</v>
      </c>
      <c r="I36" s="253">
        <f>G36*F36/10</f>
        <v>433.57</v>
      </c>
      <c r="J36" s="76" t="str">
        <f>IF(F36&gt;=7,"CRO Escalation Required",IF(F36&gt;=4,"Enhanced Monitoring","Routine Review"))</f>
        <v>CRO Escalation Required</v>
      </c>
      <c r="K36" s="87" t="str">
        <f>IF(F36&gt;=7,"🔴 Critical",IF(F36&gt;=4,"🟡 Elevated","🟢 Normal"))</f>
        <v>🔴 Critical</v>
      </c>
    </row>
    <row r="37" spans="1:11" x14ac:dyDescent="0.2">
      <c r="A37" s="85" t="s">
        <v>332</v>
      </c>
      <c r="B37" s="141">
        <f>'EWS Dashboard'!H9</f>
        <v>0.27777777777777779</v>
      </c>
      <c r="C37" s="141">
        <f>ABS(F9)*100</f>
        <v>2.1999999999999997</v>
      </c>
      <c r="D37" s="182">
        <f>J18</f>
        <v>5</v>
      </c>
      <c r="E37" s="154">
        <v>3</v>
      </c>
      <c r="F37" s="183">
        <f>MIN(10,(B37*2+C37+D37*2+E37)/6*10/5)</f>
        <v>5.2518518518518524</v>
      </c>
      <c r="G37" s="77">
        <f>G9</f>
        <v>333.65000000000003</v>
      </c>
      <c r="H37" s="78">
        <f>G37/SUM(G$34:G$38)</f>
        <v>0.2143880639212486</v>
      </c>
      <c r="I37" s="253">
        <f>G37*F37/10</f>
        <v>175.22803703703707</v>
      </c>
      <c r="J37" s="76" t="str">
        <f>IF(F37&gt;=7,"CRO Escalation Required",IF(F37&gt;=4,"Enhanced Monitoring","Routine Review"))</f>
        <v>Enhanced Monitoring</v>
      </c>
      <c r="K37" s="87" t="str">
        <f>IF(F37&gt;=7,"🔴 Critical",IF(F37&gt;=4,"🟡 Elevated","🟢 Normal"))</f>
        <v>🟡 Elevated</v>
      </c>
    </row>
    <row r="38" spans="1:11" x14ac:dyDescent="0.2">
      <c r="A38" s="85" t="s">
        <v>334</v>
      </c>
      <c r="B38" s="141">
        <f>'EWS Dashboard'!H10</f>
        <v>0</v>
      </c>
      <c r="C38" s="141">
        <f>ABS(F10)*100</f>
        <v>3.5000000000000004</v>
      </c>
      <c r="D38" s="182">
        <f>J19</f>
        <v>4</v>
      </c>
      <c r="E38" s="154">
        <v>4</v>
      </c>
      <c r="F38" s="183">
        <f>MIN(10,(B38*2+C38+D38*2+E38)/6*10/5)</f>
        <v>5.166666666666667</v>
      </c>
      <c r="G38" s="77">
        <f>G10</f>
        <v>32.69</v>
      </c>
      <c r="H38" s="78">
        <f>G38/SUM(G$34:G$38)</f>
        <v>2.1005082600286575E-2</v>
      </c>
      <c r="I38" s="253">
        <f>G38*F38/10</f>
        <v>16.889833333333335</v>
      </c>
      <c r="J38" s="76" t="str">
        <f>IF(F38&gt;=7,"CRO Escalation Required",IF(F38&gt;=4,"Enhanced Monitoring","Routine Review"))</f>
        <v>Enhanced Monitoring</v>
      </c>
      <c r="K38" s="87" t="str">
        <f>IF(F38&gt;=7,"🔴 Critical",IF(F38&gt;=4,"🟡 Elevated","🟢 Normal"))</f>
        <v>🟡 Elevated</v>
      </c>
    </row>
    <row r="39" spans="1:11" x14ac:dyDescent="0.2">
      <c r="A39" s="79" t="s">
        <v>534</v>
      </c>
      <c r="B39" s="142">
        <f>AVERAGE(B34:B38)</f>
        <v>0.53329300262149615</v>
      </c>
      <c r="C39" s="142">
        <f>AVERAGE(C34:C38)</f>
        <v>5.6</v>
      </c>
      <c r="D39" s="142">
        <f>SUMPRODUCT(D34:D38,G34:G38)/SUM(G34:G38)</f>
        <v>5.0737972999890761</v>
      </c>
      <c r="E39" s="142">
        <f>SUMPRODUCT(E34:E38,G34:G38)/SUM(G34:G38)</f>
        <v>4.6924223634412598</v>
      </c>
      <c r="F39" s="142">
        <f>SUMPRODUCT(F34:F38,G34:G38)/SUM(G34:G38)</f>
        <v>6.5483741818220516</v>
      </c>
      <c r="G39" s="82">
        <f>SUM(G34:G38)</f>
        <v>1556.2900000000002</v>
      </c>
      <c r="H39" s="83">
        <v>1</v>
      </c>
      <c r="I39" s="254">
        <f>SUM(I34:I38)</f>
        <v>1019.1169255427842</v>
      </c>
      <c r="J39" s="184" t="str">
        <f>IF(F39&gt;=7,"CRO Escalation Required",IF(F39&gt;=4,"Enhanced Monitoring","Routine Review"))</f>
        <v>Enhanced Monitoring</v>
      </c>
      <c r="K39" s="131" t="str">
        <f>IF(F39&gt;=7,"🔴 Critical",IF(F39&gt;=4,"🟡 Elevated","🟢 Normal"))</f>
        <v>🟡 Elevated</v>
      </c>
    </row>
  </sheetData>
  <mergeCells count="4">
    <mergeCell ref="A1:K1"/>
    <mergeCell ref="A2:K2"/>
    <mergeCell ref="G14:I14"/>
    <mergeCell ref="I24:J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B5C9-0213-9E43-B6C1-B756F426FCA2}">
  <dimension ref="A1:AB81"/>
  <sheetViews>
    <sheetView tabSelected="1" zoomScale="150" zoomScaleNormal="150" workbookViewId="0">
      <pane ySplit="1" topLeftCell="A2" activePane="bottomLeft" state="frozen"/>
      <selection pane="bottomLeft" activeCell="D23" sqref="D23"/>
    </sheetView>
  </sheetViews>
  <sheetFormatPr baseColWidth="10" defaultRowHeight="16" x14ac:dyDescent="0.2"/>
  <cols>
    <col min="1" max="1" width="13.1640625" bestFit="1" customWidth="1"/>
    <col min="2" max="2" width="13.1640625" customWidth="1"/>
    <col min="3" max="3" width="22" bestFit="1" customWidth="1"/>
    <col min="4" max="4" width="8" bestFit="1" customWidth="1"/>
    <col min="5" max="5" width="11.1640625" bestFit="1" customWidth="1"/>
    <col min="6" max="6" width="23.1640625" bestFit="1" customWidth="1"/>
    <col min="7" max="7" width="19.1640625" bestFit="1" customWidth="1"/>
    <col min="8" max="8" width="26.1640625" bestFit="1" customWidth="1"/>
    <col min="9" max="9" width="7.33203125" bestFit="1" customWidth="1"/>
    <col min="10" max="11" width="16.83203125" bestFit="1" customWidth="1"/>
    <col min="12" max="12" width="25.33203125" bestFit="1" customWidth="1"/>
    <col min="13" max="13" width="9.83203125" bestFit="1" customWidth="1"/>
    <col min="14" max="14" width="8.5" bestFit="1" customWidth="1"/>
    <col min="15" max="15" width="10.6640625" bestFit="1" customWidth="1"/>
    <col min="16" max="16" width="15.5" bestFit="1" customWidth="1"/>
    <col min="17" max="17" width="11.5" bestFit="1" customWidth="1"/>
    <col min="18" max="18" width="10.6640625" bestFit="1" customWidth="1"/>
    <col min="19" max="19" width="9.6640625" bestFit="1" customWidth="1"/>
    <col min="21" max="21" width="20.5" bestFit="1" customWidth="1"/>
    <col min="22" max="22" width="19.1640625" bestFit="1" customWidth="1"/>
    <col min="23" max="23" width="17" bestFit="1" customWidth="1"/>
    <col min="24" max="24" width="9.1640625" bestFit="1" customWidth="1"/>
    <col min="25" max="25" width="17.33203125" bestFit="1" customWidth="1"/>
    <col min="26" max="26" width="10.5" bestFit="1" customWidth="1"/>
  </cols>
  <sheetData>
    <row r="1" spans="1:28" x14ac:dyDescent="0.2">
      <c r="A1" s="6" t="s">
        <v>0</v>
      </c>
      <c r="B1" s="4" t="s">
        <v>329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7" t="s">
        <v>24</v>
      </c>
      <c r="AA1" s="132" t="s">
        <v>383</v>
      </c>
      <c r="AB1" s="133" t="s">
        <v>384</v>
      </c>
    </row>
    <row r="2" spans="1:28" x14ac:dyDescent="0.2">
      <c r="A2" s="8" t="s">
        <v>25</v>
      </c>
      <c r="B2" s="100" t="s">
        <v>330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10">
        <v>28.04</v>
      </c>
      <c r="K2" s="10">
        <v>26.83</v>
      </c>
      <c r="L2" s="10">
        <v>24.41</v>
      </c>
      <c r="M2" s="9">
        <v>52</v>
      </c>
      <c r="N2" s="11">
        <v>45579</v>
      </c>
      <c r="O2" s="11">
        <v>45631</v>
      </c>
      <c r="P2" s="9">
        <v>6</v>
      </c>
      <c r="Q2" s="9" t="s">
        <v>33</v>
      </c>
      <c r="R2" s="9">
        <v>0</v>
      </c>
      <c r="S2" s="9" t="s">
        <v>34</v>
      </c>
      <c r="T2" s="12">
        <v>8.3000000000000001E-3</v>
      </c>
      <c r="U2" s="10">
        <v>0.22</v>
      </c>
      <c r="V2" s="10">
        <v>22.27</v>
      </c>
      <c r="W2" s="12">
        <v>0.83</v>
      </c>
      <c r="X2" s="12">
        <v>0.75</v>
      </c>
      <c r="Y2" s="9" t="s">
        <v>35</v>
      </c>
      <c r="Z2" s="13" t="s">
        <v>36</v>
      </c>
      <c r="AA2" s="134">
        <f>MIN(5,(IF(R2&gt;90,3,IF(R2&gt;30,2,IF(R2&gt;0,1,0))))+IF(P2*1&gt;=8,1,0)+IF(W2&lt;0.7,1,0)+IF(S2="Stage 3",2,IF(S2="Stage 2",1,0))+IF(K2/J2&gt;0.95,1,0))</f>
        <v>1</v>
      </c>
      <c r="AB2" s="31" t="str">
        <f>IF(AA2=0,"None",_xlfn.TEXTJOIN(", ",TRUE,IF(R2&gt;90,"DPD&gt;90",IF(R2&gt;30,"DPD&gt;30",IF(R2&gt;0,"DPD&gt;0",""))),IF(P2*1&gt;=8,"Sub-IG Rating",""),IF(W2&lt;0.7,"Low Collateral",""),IF(S2="Stage 3","NPL",IF(S2="Stage 2","Stage 2","")),IF(K2/J2&gt;0.95,"High Utilization","")))</f>
        <v>High Utilization</v>
      </c>
    </row>
    <row r="3" spans="1:28" x14ac:dyDescent="0.2">
      <c r="A3" s="14" t="s">
        <v>37</v>
      </c>
      <c r="B3" s="101" t="s">
        <v>330</v>
      </c>
      <c r="C3" s="15" t="s">
        <v>38</v>
      </c>
      <c r="D3" s="15" t="s">
        <v>39</v>
      </c>
      <c r="E3" s="15" t="s">
        <v>39</v>
      </c>
      <c r="F3" s="15" t="s">
        <v>29</v>
      </c>
      <c r="G3" s="15" t="s">
        <v>40</v>
      </c>
      <c r="H3" s="15" t="s">
        <v>41</v>
      </c>
      <c r="I3" s="15" t="s">
        <v>32</v>
      </c>
      <c r="J3" s="16">
        <v>31.19</v>
      </c>
      <c r="K3" s="16">
        <v>24.67</v>
      </c>
      <c r="L3" s="16">
        <v>27.91</v>
      </c>
      <c r="M3" s="15">
        <v>124</v>
      </c>
      <c r="N3" s="17">
        <v>45481</v>
      </c>
      <c r="O3" s="17">
        <v>45605</v>
      </c>
      <c r="P3" s="15">
        <v>4</v>
      </c>
      <c r="Q3" s="15" t="s">
        <v>42</v>
      </c>
      <c r="R3" s="15">
        <v>0</v>
      </c>
      <c r="S3" s="15" t="s">
        <v>34</v>
      </c>
      <c r="T3" s="18">
        <v>1.0200000000000001E-2</v>
      </c>
      <c r="U3" s="16">
        <v>0.25</v>
      </c>
      <c r="V3" s="16">
        <v>22.93</v>
      </c>
      <c r="W3" s="18">
        <v>0.93</v>
      </c>
      <c r="X3" s="18">
        <v>0.5</v>
      </c>
      <c r="Y3" s="15" t="s">
        <v>43</v>
      </c>
      <c r="Z3" s="19" t="s">
        <v>36</v>
      </c>
      <c r="AA3" s="134">
        <f t="shared" ref="AA3:AA66" si="0">MIN(5,(IF(R3&gt;90,3,IF(R3&gt;30,2,IF(R3&gt;0,1,0))))+IF(P3*1&gt;=8,1,0)+IF(W3&lt;0.7,1,0)+IF(S3="Stage 3",2,IF(S3="Stage 2",1,0))+IF(K3/J3&gt;0.95,1,0))</f>
        <v>0</v>
      </c>
      <c r="AB3" s="31" t="str">
        <f t="shared" ref="AB3:AB66" si="1">IF(AA3=0,"None",_xlfn.TEXTJOIN(", ",TRUE,IF(R3&gt;90,"DPD&gt;90",IF(R3&gt;30,"DPD&gt;30",IF(R3&gt;0,"DPD&gt;0",""))),IF(P3*1&gt;=8,"Sub-IG Rating",""),IF(W3&lt;0.7,"Low Collateral",""),IF(S3="Stage 3","NPL",IF(S3="Stage 2","Stage 2","")),IF(K3/J3&gt;0.95,"High Utilization","")))</f>
        <v>None</v>
      </c>
    </row>
    <row r="4" spans="1:28" x14ac:dyDescent="0.2">
      <c r="A4" s="8" t="s">
        <v>44</v>
      </c>
      <c r="B4" s="100" t="s">
        <v>331</v>
      </c>
      <c r="C4" s="9" t="s">
        <v>45</v>
      </c>
      <c r="D4" s="9" t="s">
        <v>46</v>
      </c>
      <c r="E4" s="9" t="s">
        <v>46</v>
      </c>
      <c r="F4" s="9" t="s">
        <v>47</v>
      </c>
      <c r="G4" s="9" t="s">
        <v>48</v>
      </c>
      <c r="H4" s="9" t="s">
        <v>41</v>
      </c>
      <c r="I4" s="9" t="s">
        <v>32</v>
      </c>
      <c r="J4" s="10">
        <v>31.57</v>
      </c>
      <c r="K4" s="10">
        <v>30.67</v>
      </c>
      <c r="L4" s="10">
        <v>31.24</v>
      </c>
      <c r="M4" s="9">
        <v>157</v>
      </c>
      <c r="N4" s="11">
        <v>45362</v>
      </c>
      <c r="O4" s="11">
        <v>45519</v>
      </c>
      <c r="P4" s="9">
        <v>5</v>
      </c>
      <c r="Q4" s="9" t="s">
        <v>49</v>
      </c>
      <c r="R4" s="9">
        <v>0</v>
      </c>
      <c r="S4" s="9" t="s">
        <v>34</v>
      </c>
      <c r="T4" s="12">
        <v>8.6E-3</v>
      </c>
      <c r="U4" s="10">
        <v>0.26</v>
      </c>
      <c r="V4" s="10">
        <v>25.45</v>
      </c>
      <c r="W4" s="12">
        <v>0.83</v>
      </c>
      <c r="X4" s="12">
        <v>0.5</v>
      </c>
      <c r="Y4" s="9" t="s">
        <v>50</v>
      </c>
      <c r="Z4" s="13" t="s">
        <v>36</v>
      </c>
      <c r="AA4" s="134">
        <f t="shared" si="0"/>
        <v>1</v>
      </c>
      <c r="AB4" s="31" t="str">
        <f t="shared" si="1"/>
        <v>High Utilization</v>
      </c>
    </row>
    <row r="5" spans="1:28" x14ac:dyDescent="0.2">
      <c r="A5" s="14" t="s">
        <v>51</v>
      </c>
      <c r="B5" s="101" t="s">
        <v>332</v>
      </c>
      <c r="C5" s="15" t="s">
        <v>52</v>
      </c>
      <c r="D5" s="15" t="s">
        <v>53</v>
      </c>
      <c r="E5" s="15" t="s">
        <v>54</v>
      </c>
      <c r="F5" s="15" t="s">
        <v>55</v>
      </c>
      <c r="G5" s="15" t="s">
        <v>56</v>
      </c>
      <c r="H5" s="15" t="s">
        <v>57</v>
      </c>
      <c r="I5" s="15" t="s">
        <v>32</v>
      </c>
      <c r="J5" s="16">
        <v>35.72</v>
      </c>
      <c r="K5" s="16">
        <v>22.64</v>
      </c>
      <c r="L5" s="16">
        <v>21.84</v>
      </c>
      <c r="M5" s="15">
        <v>87</v>
      </c>
      <c r="N5" s="17">
        <v>45323</v>
      </c>
      <c r="O5" s="17">
        <v>45410</v>
      </c>
      <c r="P5" s="15">
        <v>3</v>
      </c>
      <c r="Q5" s="15" t="s">
        <v>58</v>
      </c>
      <c r="R5" s="15">
        <v>0</v>
      </c>
      <c r="S5" s="15" t="s">
        <v>34</v>
      </c>
      <c r="T5" s="18">
        <v>5.7999999999999996E-3</v>
      </c>
      <c r="U5" s="16">
        <v>0.13</v>
      </c>
      <c r="V5" s="16">
        <v>24.22</v>
      </c>
      <c r="W5" s="18">
        <v>1.07</v>
      </c>
      <c r="X5" s="18">
        <v>0.2</v>
      </c>
      <c r="Y5" s="15" t="s">
        <v>59</v>
      </c>
      <c r="Z5" s="19" t="s">
        <v>36</v>
      </c>
      <c r="AA5" s="134">
        <f t="shared" si="0"/>
        <v>0</v>
      </c>
      <c r="AB5" s="31" t="str">
        <f t="shared" si="1"/>
        <v>None</v>
      </c>
    </row>
    <row r="6" spans="1:28" x14ac:dyDescent="0.2">
      <c r="A6" s="8" t="s">
        <v>60</v>
      </c>
      <c r="B6" s="100" t="s">
        <v>330</v>
      </c>
      <c r="C6" s="9" t="s">
        <v>61</v>
      </c>
      <c r="D6" s="9" t="s">
        <v>62</v>
      </c>
      <c r="E6" s="9" t="s">
        <v>62</v>
      </c>
      <c r="F6" s="9" t="s">
        <v>63</v>
      </c>
      <c r="G6" s="9" t="s">
        <v>64</v>
      </c>
      <c r="H6" s="9" t="s">
        <v>65</v>
      </c>
      <c r="I6" s="9" t="s">
        <v>32</v>
      </c>
      <c r="J6" s="10">
        <v>29.57</v>
      </c>
      <c r="K6" s="10">
        <v>26.93</v>
      </c>
      <c r="L6" s="10">
        <v>29.7</v>
      </c>
      <c r="M6" s="9">
        <v>138</v>
      </c>
      <c r="N6" s="11">
        <v>45480</v>
      </c>
      <c r="O6" s="11">
        <v>45618</v>
      </c>
      <c r="P6" s="9">
        <v>5</v>
      </c>
      <c r="Q6" s="9" t="s">
        <v>49</v>
      </c>
      <c r="R6" s="9">
        <v>0</v>
      </c>
      <c r="S6" s="9" t="s">
        <v>34</v>
      </c>
      <c r="T6" s="12">
        <v>9.7999999999999997E-3</v>
      </c>
      <c r="U6" s="10">
        <v>0.26</v>
      </c>
      <c r="V6" s="10">
        <v>25.75</v>
      </c>
      <c r="W6" s="12">
        <v>0.96</v>
      </c>
      <c r="X6" s="12">
        <v>0.5</v>
      </c>
      <c r="Y6" s="9" t="s">
        <v>35</v>
      </c>
      <c r="Z6" s="13" t="s">
        <v>36</v>
      </c>
      <c r="AA6" s="134">
        <f t="shared" si="0"/>
        <v>0</v>
      </c>
      <c r="AB6" s="31" t="str">
        <f t="shared" si="1"/>
        <v>None</v>
      </c>
    </row>
    <row r="7" spans="1:28" x14ac:dyDescent="0.2">
      <c r="A7" s="14" t="s">
        <v>66</v>
      </c>
      <c r="B7" s="101" t="s">
        <v>331</v>
      </c>
      <c r="C7" s="15" t="s">
        <v>67</v>
      </c>
      <c r="D7" s="15" t="s">
        <v>62</v>
      </c>
      <c r="E7" s="15" t="s">
        <v>62</v>
      </c>
      <c r="F7" s="15" t="s">
        <v>68</v>
      </c>
      <c r="G7" s="15" t="s">
        <v>69</v>
      </c>
      <c r="H7" s="15" t="s">
        <v>41</v>
      </c>
      <c r="I7" s="15" t="s">
        <v>32</v>
      </c>
      <c r="J7" s="16">
        <v>36.06</v>
      </c>
      <c r="K7" s="16">
        <v>30.09</v>
      </c>
      <c r="L7" s="16">
        <v>33.86</v>
      </c>
      <c r="M7" s="15">
        <v>30</v>
      </c>
      <c r="N7" s="17">
        <v>45555</v>
      </c>
      <c r="O7" s="17">
        <v>45585</v>
      </c>
      <c r="P7" s="15">
        <v>3</v>
      </c>
      <c r="Q7" s="15" t="s">
        <v>58</v>
      </c>
      <c r="R7" s="15">
        <v>0</v>
      </c>
      <c r="S7" s="15" t="s">
        <v>34</v>
      </c>
      <c r="T7" s="18">
        <v>1.9900000000000001E-2</v>
      </c>
      <c r="U7" s="16">
        <v>0.6</v>
      </c>
      <c r="V7" s="16">
        <v>32.5</v>
      </c>
      <c r="W7" s="18">
        <v>1.08</v>
      </c>
      <c r="X7" s="18">
        <v>0.2</v>
      </c>
      <c r="Y7" s="15" t="s">
        <v>70</v>
      </c>
      <c r="Z7" s="19" t="s">
        <v>36</v>
      </c>
      <c r="AA7" s="134">
        <f t="shared" si="0"/>
        <v>0</v>
      </c>
      <c r="AB7" s="31" t="str">
        <f t="shared" si="1"/>
        <v>None</v>
      </c>
    </row>
    <row r="8" spans="1:28" x14ac:dyDescent="0.2">
      <c r="A8" s="8" t="s">
        <v>71</v>
      </c>
      <c r="B8" s="100" t="s">
        <v>333</v>
      </c>
      <c r="C8" s="9" t="s">
        <v>61</v>
      </c>
      <c r="D8" s="9" t="s">
        <v>62</v>
      </c>
      <c r="E8" s="9" t="s">
        <v>62</v>
      </c>
      <c r="F8" s="9" t="s">
        <v>72</v>
      </c>
      <c r="G8" s="9" t="s">
        <v>73</v>
      </c>
      <c r="H8" s="9" t="s">
        <v>74</v>
      </c>
      <c r="I8" s="9" t="s">
        <v>32</v>
      </c>
      <c r="J8" s="10">
        <v>11.96</v>
      </c>
      <c r="K8" s="10">
        <v>11.4</v>
      </c>
      <c r="L8" s="10">
        <v>12.11</v>
      </c>
      <c r="M8" s="9">
        <v>53</v>
      </c>
      <c r="N8" s="11">
        <v>45575</v>
      </c>
      <c r="O8" s="11">
        <v>45628</v>
      </c>
      <c r="P8" s="9">
        <v>6</v>
      </c>
      <c r="Q8" s="9" t="s">
        <v>33</v>
      </c>
      <c r="R8" s="9">
        <v>0</v>
      </c>
      <c r="S8" s="9" t="s">
        <v>34</v>
      </c>
      <c r="T8" s="12">
        <v>9.1000000000000004E-3</v>
      </c>
      <c r="U8" s="10">
        <v>0.1</v>
      </c>
      <c r="V8" s="10">
        <v>10.72</v>
      </c>
      <c r="W8" s="12">
        <v>0.94</v>
      </c>
      <c r="X8" s="12">
        <v>0.75</v>
      </c>
      <c r="Y8" s="9" t="s">
        <v>35</v>
      </c>
      <c r="Z8" s="13" t="s">
        <v>36</v>
      </c>
      <c r="AA8" s="134">
        <f t="shared" si="0"/>
        <v>1</v>
      </c>
      <c r="AB8" s="31" t="str">
        <f t="shared" si="1"/>
        <v>High Utilization</v>
      </c>
    </row>
    <row r="9" spans="1:28" x14ac:dyDescent="0.2">
      <c r="A9" s="14" t="s">
        <v>75</v>
      </c>
      <c r="B9" s="101" t="s">
        <v>333</v>
      </c>
      <c r="C9" s="15" t="s">
        <v>76</v>
      </c>
      <c r="D9" s="15" t="s">
        <v>77</v>
      </c>
      <c r="E9" s="15" t="s">
        <v>78</v>
      </c>
      <c r="F9" s="15" t="s">
        <v>29</v>
      </c>
      <c r="G9" s="15" t="s">
        <v>79</v>
      </c>
      <c r="H9" s="15" t="s">
        <v>41</v>
      </c>
      <c r="I9" s="15" t="s">
        <v>32</v>
      </c>
      <c r="J9" s="16">
        <v>33.869999999999997</v>
      </c>
      <c r="K9" s="16">
        <v>25.06</v>
      </c>
      <c r="L9" s="16">
        <v>23.57</v>
      </c>
      <c r="M9" s="15">
        <v>136</v>
      </c>
      <c r="N9" s="17">
        <v>45610</v>
      </c>
      <c r="O9" s="17">
        <v>45746</v>
      </c>
      <c r="P9" s="15">
        <v>3</v>
      </c>
      <c r="Q9" s="15" t="s">
        <v>58</v>
      </c>
      <c r="R9" s="15">
        <v>0</v>
      </c>
      <c r="S9" s="15" t="s">
        <v>34</v>
      </c>
      <c r="T9" s="18">
        <v>1.55E-2</v>
      </c>
      <c r="U9" s="16">
        <v>0.39</v>
      </c>
      <c r="V9" s="16">
        <v>22.55</v>
      </c>
      <c r="W9" s="18">
        <v>0.9</v>
      </c>
      <c r="X9" s="18">
        <v>0.2</v>
      </c>
      <c r="Y9" s="15" t="s">
        <v>80</v>
      </c>
      <c r="Z9" s="19" t="s">
        <v>36</v>
      </c>
      <c r="AA9" s="134">
        <f t="shared" si="0"/>
        <v>0</v>
      </c>
      <c r="AB9" s="31" t="str">
        <f t="shared" si="1"/>
        <v>None</v>
      </c>
    </row>
    <row r="10" spans="1:28" x14ac:dyDescent="0.2">
      <c r="A10" s="8" t="s">
        <v>81</v>
      </c>
      <c r="B10" s="100" t="s">
        <v>333</v>
      </c>
      <c r="C10" s="9" t="s">
        <v>82</v>
      </c>
      <c r="D10" s="9" t="s">
        <v>77</v>
      </c>
      <c r="E10" s="9" t="s">
        <v>83</v>
      </c>
      <c r="F10" s="9" t="s">
        <v>84</v>
      </c>
      <c r="G10" s="9" t="s">
        <v>85</v>
      </c>
      <c r="H10" s="9" t="s">
        <v>86</v>
      </c>
      <c r="I10" s="9" t="s">
        <v>32</v>
      </c>
      <c r="J10" s="10">
        <v>22.91</v>
      </c>
      <c r="K10" s="10">
        <v>22.45</v>
      </c>
      <c r="L10" s="10">
        <v>20.49</v>
      </c>
      <c r="M10" s="9">
        <v>139</v>
      </c>
      <c r="N10" s="11">
        <v>45340</v>
      </c>
      <c r="O10" s="11">
        <v>45480</v>
      </c>
      <c r="P10" s="9">
        <v>4</v>
      </c>
      <c r="Q10" s="9" t="s">
        <v>42</v>
      </c>
      <c r="R10" s="9">
        <v>0</v>
      </c>
      <c r="S10" s="9" t="s">
        <v>34</v>
      </c>
      <c r="T10" s="12">
        <v>1.44E-2</v>
      </c>
      <c r="U10" s="10">
        <v>0.32</v>
      </c>
      <c r="V10" s="10">
        <v>17.96</v>
      </c>
      <c r="W10" s="12">
        <v>0.8</v>
      </c>
      <c r="X10" s="12">
        <v>0.5</v>
      </c>
      <c r="Y10" s="9" t="s">
        <v>87</v>
      </c>
      <c r="Z10" s="13" t="s">
        <v>36</v>
      </c>
      <c r="AA10" s="134">
        <f t="shared" si="0"/>
        <v>1</v>
      </c>
      <c r="AB10" s="31" t="str">
        <f t="shared" si="1"/>
        <v>High Utilization</v>
      </c>
    </row>
    <row r="11" spans="1:28" x14ac:dyDescent="0.2">
      <c r="A11" s="14" t="s">
        <v>88</v>
      </c>
      <c r="B11" s="101" t="s">
        <v>332</v>
      </c>
      <c r="C11" s="15" t="s">
        <v>89</v>
      </c>
      <c r="D11" s="15" t="s">
        <v>62</v>
      </c>
      <c r="E11" s="15" t="s">
        <v>62</v>
      </c>
      <c r="F11" s="15" t="s">
        <v>90</v>
      </c>
      <c r="G11" s="15" t="s">
        <v>91</v>
      </c>
      <c r="H11" s="15" t="s">
        <v>65</v>
      </c>
      <c r="I11" s="15" t="s">
        <v>32</v>
      </c>
      <c r="J11" s="16">
        <v>13.56</v>
      </c>
      <c r="K11" s="16">
        <v>11.51</v>
      </c>
      <c r="L11" s="16">
        <v>13.21</v>
      </c>
      <c r="M11" s="15">
        <v>72</v>
      </c>
      <c r="N11" s="17">
        <v>45612</v>
      </c>
      <c r="O11" s="17">
        <v>45684</v>
      </c>
      <c r="P11" s="15">
        <v>7</v>
      </c>
      <c r="Q11" s="15" t="s">
        <v>92</v>
      </c>
      <c r="R11" s="15">
        <v>0</v>
      </c>
      <c r="S11" s="15" t="s">
        <v>34</v>
      </c>
      <c r="T11" s="18">
        <v>6.6E-3</v>
      </c>
      <c r="U11" s="16">
        <v>0.08</v>
      </c>
      <c r="V11" s="16">
        <v>7.48</v>
      </c>
      <c r="W11" s="18">
        <v>0.65</v>
      </c>
      <c r="X11" s="18">
        <v>0.75</v>
      </c>
      <c r="Y11" s="15" t="s">
        <v>35</v>
      </c>
      <c r="Z11" s="19" t="s">
        <v>36</v>
      </c>
      <c r="AA11" s="134">
        <f t="shared" si="0"/>
        <v>1</v>
      </c>
      <c r="AB11" s="31" t="str">
        <f t="shared" si="1"/>
        <v>Low Collateral</v>
      </c>
    </row>
    <row r="12" spans="1:28" x14ac:dyDescent="0.2">
      <c r="A12" s="8" t="s">
        <v>93</v>
      </c>
      <c r="B12" s="100" t="s">
        <v>330</v>
      </c>
      <c r="C12" s="9" t="s">
        <v>38</v>
      </c>
      <c r="D12" s="9" t="s">
        <v>39</v>
      </c>
      <c r="E12" s="9" t="s">
        <v>39</v>
      </c>
      <c r="F12" s="9" t="s">
        <v>29</v>
      </c>
      <c r="G12" s="9" t="s">
        <v>94</v>
      </c>
      <c r="H12" s="9" t="s">
        <v>86</v>
      </c>
      <c r="I12" s="9" t="s">
        <v>32</v>
      </c>
      <c r="J12" s="10">
        <v>10.220000000000001</v>
      </c>
      <c r="K12" s="10">
        <v>6.81</v>
      </c>
      <c r="L12" s="10">
        <v>6.8</v>
      </c>
      <c r="M12" s="9">
        <v>357</v>
      </c>
      <c r="N12" s="11">
        <v>45406</v>
      </c>
      <c r="O12" s="11">
        <v>45763</v>
      </c>
      <c r="P12" s="9">
        <v>4</v>
      </c>
      <c r="Q12" s="9" t="s">
        <v>42</v>
      </c>
      <c r="R12" s="9">
        <v>0</v>
      </c>
      <c r="S12" s="9" t="s">
        <v>34</v>
      </c>
      <c r="T12" s="12">
        <v>1.66E-2</v>
      </c>
      <c r="U12" s="10">
        <v>0.11</v>
      </c>
      <c r="V12" s="10">
        <v>6.07</v>
      </c>
      <c r="W12" s="12">
        <v>0.89</v>
      </c>
      <c r="X12" s="12">
        <v>0.5</v>
      </c>
      <c r="Y12" s="9" t="s">
        <v>95</v>
      </c>
      <c r="Z12" s="13" t="s">
        <v>36</v>
      </c>
      <c r="AA12" s="134">
        <f t="shared" si="0"/>
        <v>0</v>
      </c>
      <c r="AB12" s="31" t="str">
        <f t="shared" si="1"/>
        <v>None</v>
      </c>
    </row>
    <row r="13" spans="1:28" x14ac:dyDescent="0.2">
      <c r="A13" s="14" t="s">
        <v>96</v>
      </c>
      <c r="B13" s="101" t="s">
        <v>330</v>
      </c>
      <c r="C13" s="15" t="s">
        <v>97</v>
      </c>
      <c r="D13" s="15" t="s">
        <v>62</v>
      </c>
      <c r="E13" s="15" t="s">
        <v>62</v>
      </c>
      <c r="F13" s="15" t="s">
        <v>29</v>
      </c>
      <c r="G13" s="15" t="s">
        <v>40</v>
      </c>
      <c r="H13" s="15" t="s">
        <v>86</v>
      </c>
      <c r="I13" s="15" t="s">
        <v>32</v>
      </c>
      <c r="J13" s="16">
        <v>20.59</v>
      </c>
      <c r="K13" s="16">
        <v>17.579999999999998</v>
      </c>
      <c r="L13" s="16">
        <v>16</v>
      </c>
      <c r="M13" s="15">
        <v>129</v>
      </c>
      <c r="N13" s="17">
        <v>45581</v>
      </c>
      <c r="O13" s="17">
        <v>45710</v>
      </c>
      <c r="P13" s="15">
        <v>5</v>
      </c>
      <c r="Q13" s="15" t="s">
        <v>49</v>
      </c>
      <c r="R13" s="15">
        <v>0</v>
      </c>
      <c r="S13" s="15" t="s">
        <v>34</v>
      </c>
      <c r="T13" s="18">
        <v>7.3000000000000001E-3</v>
      </c>
      <c r="U13" s="16">
        <v>0.13</v>
      </c>
      <c r="V13" s="16">
        <v>14.76</v>
      </c>
      <c r="W13" s="18">
        <v>0.84</v>
      </c>
      <c r="X13" s="18">
        <v>0.5</v>
      </c>
      <c r="Y13" s="15" t="s">
        <v>98</v>
      </c>
      <c r="Z13" s="19" t="s">
        <v>36</v>
      </c>
      <c r="AA13" s="134">
        <f t="shared" si="0"/>
        <v>0</v>
      </c>
      <c r="AB13" s="31" t="str">
        <f t="shared" si="1"/>
        <v>None</v>
      </c>
    </row>
    <row r="14" spans="1:28" x14ac:dyDescent="0.2">
      <c r="A14" s="8" t="s">
        <v>99</v>
      </c>
      <c r="B14" s="100" t="s">
        <v>333</v>
      </c>
      <c r="C14" s="9" t="s">
        <v>100</v>
      </c>
      <c r="D14" s="9" t="s">
        <v>62</v>
      </c>
      <c r="E14" s="9" t="s">
        <v>62</v>
      </c>
      <c r="F14" s="9" t="s">
        <v>29</v>
      </c>
      <c r="G14" s="9" t="s">
        <v>79</v>
      </c>
      <c r="H14" s="9" t="s">
        <v>57</v>
      </c>
      <c r="I14" s="9" t="s">
        <v>32</v>
      </c>
      <c r="J14" s="10">
        <v>38.93</v>
      </c>
      <c r="K14" s="10">
        <v>37.19</v>
      </c>
      <c r="L14" s="10">
        <v>36.07</v>
      </c>
      <c r="M14" s="9">
        <v>81</v>
      </c>
      <c r="N14" s="11">
        <v>45633</v>
      </c>
      <c r="O14" s="11">
        <v>45714</v>
      </c>
      <c r="P14" s="9">
        <v>4</v>
      </c>
      <c r="Q14" s="9" t="s">
        <v>42</v>
      </c>
      <c r="R14" s="9">
        <v>0</v>
      </c>
      <c r="S14" s="9" t="s">
        <v>34</v>
      </c>
      <c r="T14" s="12">
        <v>1.04E-2</v>
      </c>
      <c r="U14" s="10">
        <v>0.39</v>
      </c>
      <c r="V14" s="10">
        <v>29.75</v>
      </c>
      <c r="W14" s="12">
        <v>0.8</v>
      </c>
      <c r="X14" s="12">
        <v>0.5</v>
      </c>
      <c r="Y14" s="9" t="s">
        <v>101</v>
      </c>
      <c r="Z14" s="13" t="s">
        <v>36</v>
      </c>
      <c r="AA14" s="134">
        <f t="shared" si="0"/>
        <v>1</v>
      </c>
      <c r="AB14" s="31" t="str">
        <f t="shared" si="1"/>
        <v>High Utilization</v>
      </c>
    </row>
    <row r="15" spans="1:28" x14ac:dyDescent="0.2">
      <c r="A15" s="14" t="s">
        <v>102</v>
      </c>
      <c r="B15" s="101" t="s">
        <v>330</v>
      </c>
      <c r="C15" s="15" t="s">
        <v>103</v>
      </c>
      <c r="D15" s="15" t="s">
        <v>39</v>
      </c>
      <c r="E15" s="15" t="s">
        <v>39</v>
      </c>
      <c r="F15" s="15" t="s">
        <v>72</v>
      </c>
      <c r="G15" s="15" t="s">
        <v>104</v>
      </c>
      <c r="H15" s="15" t="s">
        <v>41</v>
      </c>
      <c r="I15" s="15" t="s">
        <v>32</v>
      </c>
      <c r="J15" s="16">
        <v>8.52</v>
      </c>
      <c r="K15" s="16">
        <v>5.5</v>
      </c>
      <c r="L15" s="16">
        <v>4.97</v>
      </c>
      <c r="M15" s="15">
        <v>170</v>
      </c>
      <c r="N15" s="17">
        <v>45391</v>
      </c>
      <c r="O15" s="17">
        <v>45561</v>
      </c>
      <c r="P15" s="15">
        <v>5</v>
      </c>
      <c r="Q15" s="15" t="s">
        <v>49</v>
      </c>
      <c r="R15" s="15">
        <v>0</v>
      </c>
      <c r="S15" s="15" t="s">
        <v>34</v>
      </c>
      <c r="T15" s="18">
        <v>1.2E-2</v>
      </c>
      <c r="U15" s="16">
        <v>7.0000000000000007E-2</v>
      </c>
      <c r="V15" s="16">
        <v>5.04</v>
      </c>
      <c r="W15" s="18">
        <v>0.92</v>
      </c>
      <c r="X15" s="18">
        <v>0.5</v>
      </c>
      <c r="Y15" s="15" t="s">
        <v>50</v>
      </c>
      <c r="Z15" s="19" t="s">
        <v>36</v>
      </c>
      <c r="AA15" s="134">
        <f t="shared" si="0"/>
        <v>0</v>
      </c>
      <c r="AB15" s="31" t="str">
        <f t="shared" si="1"/>
        <v>None</v>
      </c>
    </row>
    <row r="16" spans="1:28" x14ac:dyDescent="0.2">
      <c r="A16" s="8" t="s">
        <v>105</v>
      </c>
      <c r="B16" s="100" t="s">
        <v>333</v>
      </c>
      <c r="C16" s="9" t="s">
        <v>106</v>
      </c>
      <c r="D16" s="9" t="s">
        <v>77</v>
      </c>
      <c r="E16" s="9" t="s">
        <v>83</v>
      </c>
      <c r="F16" s="9" t="s">
        <v>107</v>
      </c>
      <c r="G16" s="9" t="s">
        <v>108</v>
      </c>
      <c r="H16" s="9" t="s">
        <v>109</v>
      </c>
      <c r="I16" s="9" t="s">
        <v>32</v>
      </c>
      <c r="J16" s="10">
        <v>15.93</v>
      </c>
      <c r="K16" s="10">
        <v>11.38</v>
      </c>
      <c r="L16" s="10">
        <v>12.23</v>
      </c>
      <c r="M16" s="9">
        <v>87</v>
      </c>
      <c r="N16" s="11">
        <v>45407</v>
      </c>
      <c r="O16" s="11">
        <v>45494</v>
      </c>
      <c r="P16" s="9">
        <v>4</v>
      </c>
      <c r="Q16" s="9" t="s">
        <v>42</v>
      </c>
      <c r="R16" s="9">
        <v>0</v>
      </c>
      <c r="S16" s="9" t="s">
        <v>34</v>
      </c>
      <c r="T16" s="12">
        <v>1.8100000000000002E-2</v>
      </c>
      <c r="U16" s="10">
        <v>0.21</v>
      </c>
      <c r="V16" s="10">
        <v>10.24</v>
      </c>
      <c r="W16" s="12">
        <v>0.9</v>
      </c>
      <c r="X16" s="12">
        <v>0.5</v>
      </c>
      <c r="Y16" s="9" t="s">
        <v>35</v>
      </c>
      <c r="Z16" s="13" t="s">
        <v>36</v>
      </c>
      <c r="AA16" s="134">
        <f t="shared" si="0"/>
        <v>0</v>
      </c>
      <c r="AB16" s="31" t="str">
        <f t="shared" si="1"/>
        <v>None</v>
      </c>
    </row>
    <row r="17" spans="1:28" x14ac:dyDescent="0.2">
      <c r="A17" s="14" t="s">
        <v>110</v>
      </c>
      <c r="B17" s="101" t="s">
        <v>332</v>
      </c>
      <c r="C17" s="15" t="s">
        <v>111</v>
      </c>
      <c r="D17" s="15" t="s">
        <v>53</v>
      </c>
      <c r="E17" s="15" t="s">
        <v>112</v>
      </c>
      <c r="F17" s="15" t="s">
        <v>84</v>
      </c>
      <c r="G17" s="15" t="s">
        <v>113</v>
      </c>
      <c r="H17" s="15" t="s">
        <v>57</v>
      </c>
      <c r="I17" s="15" t="s">
        <v>32</v>
      </c>
      <c r="J17" s="16">
        <v>42.03</v>
      </c>
      <c r="K17" s="16">
        <v>32.19</v>
      </c>
      <c r="L17" s="16">
        <v>29.59</v>
      </c>
      <c r="M17" s="15">
        <v>161</v>
      </c>
      <c r="N17" s="17">
        <v>45389</v>
      </c>
      <c r="O17" s="17">
        <v>45550</v>
      </c>
      <c r="P17" s="15">
        <v>3</v>
      </c>
      <c r="Q17" s="15" t="s">
        <v>58</v>
      </c>
      <c r="R17" s="15">
        <v>0</v>
      </c>
      <c r="S17" s="15" t="s">
        <v>34</v>
      </c>
      <c r="T17" s="18">
        <v>1.77E-2</v>
      </c>
      <c r="U17" s="16">
        <v>0.56999999999999995</v>
      </c>
      <c r="V17" s="16">
        <v>27.36</v>
      </c>
      <c r="W17" s="18">
        <v>0.85</v>
      </c>
      <c r="X17" s="18">
        <v>0.2</v>
      </c>
      <c r="Y17" s="15" t="s">
        <v>114</v>
      </c>
      <c r="Z17" s="19" t="s">
        <v>36</v>
      </c>
      <c r="AA17" s="134">
        <f t="shared" si="0"/>
        <v>0</v>
      </c>
      <c r="AB17" s="31" t="str">
        <f t="shared" si="1"/>
        <v>None</v>
      </c>
    </row>
    <row r="18" spans="1:28" x14ac:dyDescent="0.2">
      <c r="A18" s="8" t="s">
        <v>115</v>
      </c>
      <c r="B18" s="100" t="s">
        <v>333</v>
      </c>
      <c r="C18" s="9" t="s">
        <v>116</v>
      </c>
      <c r="D18" s="9" t="s">
        <v>77</v>
      </c>
      <c r="E18" s="9" t="s">
        <v>117</v>
      </c>
      <c r="F18" s="9" t="s">
        <v>47</v>
      </c>
      <c r="G18" s="9" t="s">
        <v>48</v>
      </c>
      <c r="H18" s="9" t="s">
        <v>86</v>
      </c>
      <c r="I18" s="9" t="s">
        <v>32</v>
      </c>
      <c r="J18" s="10">
        <v>3.38</v>
      </c>
      <c r="K18" s="10">
        <v>2.14</v>
      </c>
      <c r="L18" s="10">
        <v>2.0299999999999998</v>
      </c>
      <c r="M18" s="9">
        <v>241</v>
      </c>
      <c r="N18" s="11">
        <v>45549</v>
      </c>
      <c r="O18" s="11">
        <v>45790</v>
      </c>
      <c r="P18" s="9">
        <v>7</v>
      </c>
      <c r="Q18" s="9" t="s">
        <v>92</v>
      </c>
      <c r="R18" s="9">
        <v>0</v>
      </c>
      <c r="S18" s="9" t="s">
        <v>34</v>
      </c>
      <c r="T18" s="12">
        <v>1.1299999999999999E-2</v>
      </c>
      <c r="U18" s="10">
        <v>0.02</v>
      </c>
      <c r="V18" s="10">
        <v>1.22</v>
      </c>
      <c r="W18" s="12">
        <v>0.56999999999999995</v>
      </c>
      <c r="X18" s="12">
        <v>0.75</v>
      </c>
      <c r="Y18" s="9" t="s">
        <v>59</v>
      </c>
      <c r="Z18" s="13" t="s">
        <v>36</v>
      </c>
      <c r="AA18" s="134">
        <f t="shared" si="0"/>
        <v>1</v>
      </c>
      <c r="AB18" s="31" t="str">
        <f t="shared" si="1"/>
        <v>Low Collateral</v>
      </c>
    </row>
    <row r="19" spans="1:28" x14ac:dyDescent="0.2">
      <c r="A19" s="14" t="s">
        <v>118</v>
      </c>
      <c r="B19" s="101" t="s">
        <v>332</v>
      </c>
      <c r="C19" s="15" t="s">
        <v>119</v>
      </c>
      <c r="D19" s="15" t="s">
        <v>62</v>
      </c>
      <c r="E19" s="15" t="s">
        <v>62</v>
      </c>
      <c r="F19" s="15" t="s">
        <v>55</v>
      </c>
      <c r="G19" s="15" t="s">
        <v>120</v>
      </c>
      <c r="H19" s="15" t="s">
        <v>41</v>
      </c>
      <c r="I19" s="15" t="s">
        <v>32</v>
      </c>
      <c r="J19" s="16">
        <v>25.58</v>
      </c>
      <c r="K19" s="16">
        <v>22.09</v>
      </c>
      <c r="L19" s="16">
        <v>19.91</v>
      </c>
      <c r="M19" s="15">
        <v>56</v>
      </c>
      <c r="N19" s="17">
        <v>45622</v>
      </c>
      <c r="O19" s="17">
        <v>45678</v>
      </c>
      <c r="P19" s="15">
        <v>3</v>
      </c>
      <c r="Q19" s="15" t="s">
        <v>58</v>
      </c>
      <c r="R19" s="15">
        <v>0</v>
      </c>
      <c r="S19" s="15" t="s">
        <v>34</v>
      </c>
      <c r="T19" s="18">
        <v>6.6E-3</v>
      </c>
      <c r="U19" s="16">
        <v>0.15</v>
      </c>
      <c r="V19" s="16">
        <v>20.02</v>
      </c>
      <c r="W19" s="18">
        <v>0.91</v>
      </c>
      <c r="X19" s="18">
        <v>0.2</v>
      </c>
      <c r="Y19" s="15" t="s">
        <v>121</v>
      </c>
      <c r="Z19" s="19" t="s">
        <v>36</v>
      </c>
      <c r="AA19" s="134">
        <f t="shared" si="0"/>
        <v>0</v>
      </c>
      <c r="AB19" s="31" t="str">
        <f t="shared" si="1"/>
        <v>None</v>
      </c>
    </row>
    <row r="20" spans="1:28" x14ac:dyDescent="0.2">
      <c r="A20" s="8" t="s">
        <v>122</v>
      </c>
      <c r="B20" s="100" t="s">
        <v>330</v>
      </c>
      <c r="C20" s="9" t="s">
        <v>123</v>
      </c>
      <c r="D20" s="9" t="s">
        <v>62</v>
      </c>
      <c r="E20" s="9" t="s">
        <v>62</v>
      </c>
      <c r="F20" s="9" t="s">
        <v>29</v>
      </c>
      <c r="G20" s="9" t="s">
        <v>124</v>
      </c>
      <c r="H20" s="9" t="s">
        <v>41</v>
      </c>
      <c r="I20" s="9" t="s">
        <v>32</v>
      </c>
      <c r="J20" s="10">
        <v>14.55</v>
      </c>
      <c r="K20" s="10">
        <v>11.87</v>
      </c>
      <c r="L20" s="10">
        <v>12.97</v>
      </c>
      <c r="M20" s="9">
        <v>68</v>
      </c>
      <c r="N20" s="11">
        <v>45419</v>
      </c>
      <c r="O20" s="11">
        <v>45487</v>
      </c>
      <c r="P20" s="9">
        <v>2</v>
      </c>
      <c r="Q20" s="9" t="s">
        <v>125</v>
      </c>
      <c r="R20" s="9">
        <v>0</v>
      </c>
      <c r="S20" s="9" t="s">
        <v>34</v>
      </c>
      <c r="T20" s="12">
        <v>8.8000000000000005E-3</v>
      </c>
      <c r="U20" s="10">
        <v>0.1</v>
      </c>
      <c r="V20" s="10">
        <v>11.39</v>
      </c>
      <c r="W20" s="12">
        <v>0.96</v>
      </c>
      <c r="X20" s="12">
        <v>0.2</v>
      </c>
      <c r="Y20" s="9" t="s">
        <v>43</v>
      </c>
      <c r="Z20" s="13" t="s">
        <v>36</v>
      </c>
      <c r="AA20" s="134">
        <f t="shared" si="0"/>
        <v>0</v>
      </c>
      <c r="AB20" s="31" t="str">
        <f t="shared" si="1"/>
        <v>None</v>
      </c>
    </row>
    <row r="21" spans="1:28" x14ac:dyDescent="0.2">
      <c r="A21" s="14" t="s">
        <v>126</v>
      </c>
      <c r="B21" s="101" t="s">
        <v>332</v>
      </c>
      <c r="C21" s="15" t="s">
        <v>127</v>
      </c>
      <c r="D21" s="15" t="s">
        <v>53</v>
      </c>
      <c r="E21" s="15" t="s">
        <v>112</v>
      </c>
      <c r="F21" s="15" t="s">
        <v>84</v>
      </c>
      <c r="G21" s="15" t="s">
        <v>128</v>
      </c>
      <c r="H21" s="15" t="s">
        <v>65</v>
      </c>
      <c r="I21" s="15" t="s">
        <v>32</v>
      </c>
      <c r="J21" s="16">
        <v>29.69</v>
      </c>
      <c r="K21" s="16">
        <v>18.53</v>
      </c>
      <c r="L21" s="16">
        <v>17.489999999999998</v>
      </c>
      <c r="M21" s="15">
        <v>101</v>
      </c>
      <c r="N21" s="17">
        <v>45313</v>
      </c>
      <c r="O21" s="17">
        <v>45415</v>
      </c>
      <c r="P21" s="15">
        <v>3</v>
      </c>
      <c r="Q21" s="15" t="s">
        <v>58</v>
      </c>
      <c r="R21" s="15">
        <v>0</v>
      </c>
      <c r="S21" s="15" t="s">
        <v>34</v>
      </c>
      <c r="T21" s="18">
        <v>1.2999999999999999E-2</v>
      </c>
      <c r="U21" s="16">
        <v>0.24</v>
      </c>
      <c r="V21" s="16">
        <v>15.94</v>
      </c>
      <c r="W21" s="18">
        <v>0.86</v>
      </c>
      <c r="X21" s="18">
        <v>0.2</v>
      </c>
      <c r="Y21" s="15" t="s">
        <v>35</v>
      </c>
      <c r="Z21" s="19" t="s">
        <v>36</v>
      </c>
      <c r="AA21" s="134">
        <f t="shared" si="0"/>
        <v>0</v>
      </c>
      <c r="AB21" s="31" t="str">
        <f t="shared" si="1"/>
        <v>None</v>
      </c>
    </row>
    <row r="22" spans="1:28" x14ac:dyDescent="0.2">
      <c r="A22" s="8" t="s">
        <v>129</v>
      </c>
      <c r="B22" s="100" t="s">
        <v>332</v>
      </c>
      <c r="C22" s="9" t="s">
        <v>130</v>
      </c>
      <c r="D22" s="9" t="s">
        <v>53</v>
      </c>
      <c r="E22" s="9" t="s">
        <v>112</v>
      </c>
      <c r="F22" s="9" t="s">
        <v>84</v>
      </c>
      <c r="G22" s="9" t="s">
        <v>85</v>
      </c>
      <c r="H22" s="9" t="s">
        <v>31</v>
      </c>
      <c r="I22" s="9" t="s">
        <v>32</v>
      </c>
      <c r="J22" s="10">
        <v>18.37</v>
      </c>
      <c r="K22" s="10">
        <v>15.89</v>
      </c>
      <c r="L22" s="10">
        <v>14.3</v>
      </c>
      <c r="M22" s="9">
        <v>45</v>
      </c>
      <c r="N22" s="11">
        <v>45348</v>
      </c>
      <c r="O22" s="11">
        <v>45393</v>
      </c>
      <c r="P22" s="9">
        <v>5</v>
      </c>
      <c r="Q22" s="9" t="s">
        <v>49</v>
      </c>
      <c r="R22" s="9">
        <v>0</v>
      </c>
      <c r="S22" s="9" t="s">
        <v>34</v>
      </c>
      <c r="T22" s="12">
        <v>5.7000000000000002E-3</v>
      </c>
      <c r="U22" s="10">
        <v>0.09</v>
      </c>
      <c r="V22" s="10">
        <v>14.78</v>
      </c>
      <c r="W22" s="12">
        <v>0.93</v>
      </c>
      <c r="X22" s="12">
        <v>0.5</v>
      </c>
      <c r="Y22" s="9" t="s">
        <v>35</v>
      </c>
      <c r="Z22" s="13" t="s">
        <v>36</v>
      </c>
      <c r="AA22" s="134">
        <f t="shared" si="0"/>
        <v>0</v>
      </c>
      <c r="AB22" s="31" t="str">
        <f t="shared" si="1"/>
        <v>None</v>
      </c>
    </row>
    <row r="23" spans="1:28" x14ac:dyDescent="0.2">
      <c r="A23" s="14" t="s">
        <v>131</v>
      </c>
      <c r="B23" s="101" t="s">
        <v>330</v>
      </c>
      <c r="C23" s="15" t="s">
        <v>132</v>
      </c>
      <c r="D23" s="15" t="s">
        <v>62</v>
      </c>
      <c r="E23" s="15" t="s">
        <v>62</v>
      </c>
      <c r="F23" s="15" t="s">
        <v>47</v>
      </c>
      <c r="G23" s="15" t="s">
        <v>133</v>
      </c>
      <c r="H23" s="15" t="s">
        <v>41</v>
      </c>
      <c r="I23" s="15" t="s">
        <v>32</v>
      </c>
      <c r="J23" s="16">
        <v>43.59</v>
      </c>
      <c r="K23" s="16">
        <v>39.47</v>
      </c>
      <c r="L23" s="16">
        <v>38.32</v>
      </c>
      <c r="M23" s="15">
        <v>113</v>
      </c>
      <c r="N23" s="17">
        <v>45648</v>
      </c>
      <c r="O23" s="17">
        <v>45761</v>
      </c>
      <c r="P23" s="15">
        <v>5</v>
      </c>
      <c r="Q23" s="15" t="s">
        <v>49</v>
      </c>
      <c r="R23" s="15">
        <v>0</v>
      </c>
      <c r="S23" s="15" t="s">
        <v>34</v>
      </c>
      <c r="T23" s="18">
        <v>6.8999999999999999E-3</v>
      </c>
      <c r="U23" s="16">
        <v>0.27</v>
      </c>
      <c r="V23" s="16">
        <v>37.1</v>
      </c>
      <c r="W23" s="18">
        <v>0.94</v>
      </c>
      <c r="X23" s="18">
        <v>0.5</v>
      </c>
      <c r="Y23" s="15" t="s">
        <v>80</v>
      </c>
      <c r="Z23" s="19" t="s">
        <v>36</v>
      </c>
      <c r="AA23" s="134">
        <f t="shared" si="0"/>
        <v>0</v>
      </c>
      <c r="AB23" s="31" t="str">
        <f t="shared" si="1"/>
        <v>None</v>
      </c>
    </row>
    <row r="24" spans="1:28" x14ac:dyDescent="0.2">
      <c r="A24" s="8" t="s">
        <v>134</v>
      </c>
      <c r="B24" s="100" t="s">
        <v>330</v>
      </c>
      <c r="C24" s="9" t="s">
        <v>135</v>
      </c>
      <c r="D24" s="9" t="s">
        <v>39</v>
      </c>
      <c r="E24" s="9" t="s">
        <v>39</v>
      </c>
      <c r="F24" s="9" t="s">
        <v>72</v>
      </c>
      <c r="G24" s="9" t="s">
        <v>136</v>
      </c>
      <c r="H24" s="9" t="s">
        <v>137</v>
      </c>
      <c r="I24" s="9" t="s">
        <v>32</v>
      </c>
      <c r="J24" s="10">
        <v>24.44</v>
      </c>
      <c r="K24" s="10">
        <v>22.26</v>
      </c>
      <c r="L24" s="10">
        <v>24.16</v>
      </c>
      <c r="M24" s="9">
        <v>344</v>
      </c>
      <c r="N24" s="11">
        <v>45512</v>
      </c>
      <c r="O24" s="11">
        <v>45856</v>
      </c>
      <c r="P24" s="9">
        <v>4</v>
      </c>
      <c r="Q24" s="9" t="s">
        <v>42</v>
      </c>
      <c r="R24" s="9">
        <v>0</v>
      </c>
      <c r="S24" s="9" t="s">
        <v>34</v>
      </c>
      <c r="T24" s="12">
        <v>1.9699999999999999E-2</v>
      </c>
      <c r="U24" s="10">
        <v>0.44</v>
      </c>
      <c r="V24" s="10">
        <v>13.36</v>
      </c>
      <c r="W24" s="12">
        <v>0.6</v>
      </c>
      <c r="X24" s="12">
        <v>0.5</v>
      </c>
      <c r="Y24" s="9" t="s">
        <v>138</v>
      </c>
      <c r="Z24" s="13" t="s">
        <v>36</v>
      </c>
      <c r="AA24" s="134">
        <f t="shared" si="0"/>
        <v>1</v>
      </c>
      <c r="AB24" s="31" t="str">
        <f t="shared" si="1"/>
        <v>Low Collateral</v>
      </c>
    </row>
    <row r="25" spans="1:28" x14ac:dyDescent="0.2">
      <c r="A25" s="14" t="s">
        <v>139</v>
      </c>
      <c r="B25" s="101" t="s">
        <v>330</v>
      </c>
      <c r="C25" s="15" t="s">
        <v>140</v>
      </c>
      <c r="D25" s="15" t="s">
        <v>39</v>
      </c>
      <c r="E25" s="15" t="s">
        <v>39</v>
      </c>
      <c r="F25" s="15" t="s">
        <v>72</v>
      </c>
      <c r="G25" s="15" t="s">
        <v>73</v>
      </c>
      <c r="H25" s="15" t="s">
        <v>41</v>
      </c>
      <c r="I25" s="15" t="s">
        <v>32</v>
      </c>
      <c r="J25" s="16">
        <v>3.24</v>
      </c>
      <c r="K25" s="16">
        <v>2.0699999999999998</v>
      </c>
      <c r="L25" s="16">
        <v>2.19</v>
      </c>
      <c r="M25" s="15">
        <v>68</v>
      </c>
      <c r="N25" s="17">
        <v>45314</v>
      </c>
      <c r="O25" s="17">
        <v>45383</v>
      </c>
      <c r="P25" s="15">
        <v>8</v>
      </c>
      <c r="Q25" s="15" t="s">
        <v>141</v>
      </c>
      <c r="R25" s="15">
        <v>19</v>
      </c>
      <c r="S25" s="15" t="s">
        <v>142</v>
      </c>
      <c r="T25" s="18">
        <v>9.6500000000000002E-2</v>
      </c>
      <c r="U25" s="16">
        <v>0.2</v>
      </c>
      <c r="V25" s="16">
        <v>1.7</v>
      </c>
      <c r="W25" s="18">
        <v>0.82</v>
      </c>
      <c r="X25" s="18">
        <v>1</v>
      </c>
      <c r="Y25" s="15" t="s">
        <v>143</v>
      </c>
      <c r="Z25" s="19" t="s">
        <v>144</v>
      </c>
      <c r="AA25" s="134">
        <f t="shared" si="0"/>
        <v>3</v>
      </c>
      <c r="AB25" s="31" t="str">
        <f t="shared" si="1"/>
        <v>DPD&gt;0, Sub-IG Rating, Stage 2</v>
      </c>
    </row>
    <row r="26" spans="1:28" x14ac:dyDescent="0.2">
      <c r="A26" s="8" t="s">
        <v>145</v>
      </c>
      <c r="B26" s="100" t="s">
        <v>330</v>
      </c>
      <c r="C26" s="9" t="s">
        <v>146</v>
      </c>
      <c r="D26" s="9" t="s">
        <v>39</v>
      </c>
      <c r="E26" s="9" t="s">
        <v>39</v>
      </c>
      <c r="F26" s="9" t="s">
        <v>63</v>
      </c>
      <c r="G26" s="9" t="s">
        <v>147</v>
      </c>
      <c r="H26" s="9" t="s">
        <v>57</v>
      </c>
      <c r="I26" s="9" t="s">
        <v>32</v>
      </c>
      <c r="J26" s="10">
        <v>44.89</v>
      </c>
      <c r="K26" s="10">
        <v>27.12</v>
      </c>
      <c r="L26" s="10">
        <v>31.12</v>
      </c>
      <c r="M26" s="9">
        <v>131</v>
      </c>
      <c r="N26" s="11">
        <v>45292</v>
      </c>
      <c r="O26" s="11">
        <v>45423</v>
      </c>
      <c r="P26" s="9">
        <v>4</v>
      </c>
      <c r="Q26" s="9" t="s">
        <v>42</v>
      </c>
      <c r="R26" s="9">
        <v>0</v>
      </c>
      <c r="S26" s="9" t="s">
        <v>34</v>
      </c>
      <c r="T26" s="12">
        <v>1.2800000000000001E-2</v>
      </c>
      <c r="U26" s="10">
        <v>0.35</v>
      </c>
      <c r="V26" s="10">
        <v>22.51</v>
      </c>
      <c r="W26" s="12">
        <v>0.83</v>
      </c>
      <c r="X26" s="12">
        <v>0.5</v>
      </c>
      <c r="Y26" s="9" t="s">
        <v>43</v>
      </c>
      <c r="Z26" s="13" t="s">
        <v>36</v>
      </c>
      <c r="AA26" s="134">
        <f t="shared" si="0"/>
        <v>0</v>
      </c>
      <c r="AB26" s="31" t="str">
        <f t="shared" si="1"/>
        <v>None</v>
      </c>
    </row>
    <row r="27" spans="1:28" x14ac:dyDescent="0.2">
      <c r="A27" s="14" t="s">
        <v>148</v>
      </c>
      <c r="B27" s="101" t="s">
        <v>331</v>
      </c>
      <c r="C27" s="15" t="s">
        <v>149</v>
      </c>
      <c r="D27" s="15" t="s">
        <v>46</v>
      </c>
      <c r="E27" s="15" t="s">
        <v>46</v>
      </c>
      <c r="F27" s="15" t="s">
        <v>29</v>
      </c>
      <c r="G27" s="15" t="s">
        <v>150</v>
      </c>
      <c r="H27" s="15" t="s">
        <v>41</v>
      </c>
      <c r="I27" s="15" t="s">
        <v>32</v>
      </c>
      <c r="J27" s="16">
        <v>22.24</v>
      </c>
      <c r="K27" s="16">
        <v>21.11</v>
      </c>
      <c r="L27" s="16">
        <v>22.87</v>
      </c>
      <c r="M27" s="15">
        <v>128</v>
      </c>
      <c r="N27" s="17">
        <v>45460</v>
      </c>
      <c r="O27" s="17">
        <v>45588</v>
      </c>
      <c r="P27" s="15">
        <v>5</v>
      </c>
      <c r="Q27" s="15" t="s">
        <v>49</v>
      </c>
      <c r="R27" s="15">
        <v>0</v>
      </c>
      <c r="S27" s="15" t="s">
        <v>34</v>
      </c>
      <c r="T27" s="18">
        <v>5.4000000000000003E-3</v>
      </c>
      <c r="U27" s="16">
        <v>0.11</v>
      </c>
      <c r="V27" s="16">
        <v>19</v>
      </c>
      <c r="W27" s="18">
        <v>0.9</v>
      </c>
      <c r="X27" s="18">
        <v>0.5</v>
      </c>
      <c r="Y27" s="15" t="s">
        <v>151</v>
      </c>
      <c r="Z27" s="19" t="s">
        <v>36</v>
      </c>
      <c r="AA27" s="134">
        <f t="shared" si="0"/>
        <v>0</v>
      </c>
      <c r="AB27" s="31" t="str">
        <f t="shared" si="1"/>
        <v>None</v>
      </c>
    </row>
    <row r="28" spans="1:28" x14ac:dyDescent="0.2">
      <c r="A28" s="8" t="s">
        <v>152</v>
      </c>
      <c r="B28" s="100" t="s">
        <v>333</v>
      </c>
      <c r="C28" s="9" t="s">
        <v>153</v>
      </c>
      <c r="D28" s="9" t="s">
        <v>77</v>
      </c>
      <c r="E28" s="9" t="s">
        <v>117</v>
      </c>
      <c r="F28" s="9" t="s">
        <v>84</v>
      </c>
      <c r="G28" s="9" t="s">
        <v>154</v>
      </c>
      <c r="H28" s="9" t="s">
        <v>41</v>
      </c>
      <c r="I28" s="9" t="s">
        <v>32</v>
      </c>
      <c r="J28" s="10">
        <v>7.07</v>
      </c>
      <c r="K28" s="10">
        <v>5.51</v>
      </c>
      <c r="L28" s="10">
        <v>5.69</v>
      </c>
      <c r="M28" s="9">
        <v>175</v>
      </c>
      <c r="N28" s="11">
        <v>45622</v>
      </c>
      <c r="O28" s="11">
        <v>45797</v>
      </c>
      <c r="P28" s="9">
        <v>5</v>
      </c>
      <c r="Q28" s="9" t="s">
        <v>49</v>
      </c>
      <c r="R28" s="9">
        <v>0</v>
      </c>
      <c r="S28" s="9" t="s">
        <v>34</v>
      </c>
      <c r="T28" s="12">
        <v>1.9900000000000001E-2</v>
      </c>
      <c r="U28" s="10">
        <v>0.11</v>
      </c>
      <c r="V28" s="10">
        <v>4.68</v>
      </c>
      <c r="W28" s="12">
        <v>0.85</v>
      </c>
      <c r="X28" s="12">
        <v>0.5</v>
      </c>
      <c r="Y28" s="9" t="s">
        <v>155</v>
      </c>
      <c r="Z28" s="13" t="s">
        <v>36</v>
      </c>
      <c r="AA28" s="134">
        <f t="shared" si="0"/>
        <v>0</v>
      </c>
      <c r="AB28" s="31" t="str">
        <f t="shared" si="1"/>
        <v>None</v>
      </c>
    </row>
    <row r="29" spans="1:28" x14ac:dyDescent="0.2">
      <c r="A29" s="14" t="s">
        <v>156</v>
      </c>
      <c r="B29" s="101" t="s">
        <v>330</v>
      </c>
      <c r="C29" s="15" t="s">
        <v>157</v>
      </c>
      <c r="D29" s="15" t="s">
        <v>27</v>
      </c>
      <c r="E29" s="15" t="s">
        <v>158</v>
      </c>
      <c r="F29" s="15" t="s">
        <v>72</v>
      </c>
      <c r="G29" s="15" t="s">
        <v>104</v>
      </c>
      <c r="H29" s="15" t="s">
        <v>74</v>
      </c>
      <c r="I29" s="15" t="s">
        <v>32</v>
      </c>
      <c r="J29" s="16">
        <v>22.63</v>
      </c>
      <c r="K29" s="16">
        <v>21.75</v>
      </c>
      <c r="L29" s="16">
        <v>23.66</v>
      </c>
      <c r="M29" s="15">
        <v>90</v>
      </c>
      <c r="N29" s="17">
        <v>45508</v>
      </c>
      <c r="O29" s="17">
        <v>45598</v>
      </c>
      <c r="P29" s="15">
        <v>5</v>
      </c>
      <c r="Q29" s="15" t="s">
        <v>49</v>
      </c>
      <c r="R29" s="15">
        <v>0</v>
      </c>
      <c r="S29" s="15" t="s">
        <v>34</v>
      </c>
      <c r="T29" s="18">
        <v>6.7999999999999996E-3</v>
      </c>
      <c r="U29" s="16">
        <v>0.15</v>
      </c>
      <c r="V29" s="16">
        <v>15.22</v>
      </c>
      <c r="W29" s="18">
        <v>0.7</v>
      </c>
      <c r="X29" s="18">
        <v>0.5</v>
      </c>
      <c r="Y29" s="15" t="s">
        <v>35</v>
      </c>
      <c r="Z29" s="19" t="s">
        <v>36</v>
      </c>
      <c r="AA29" s="134">
        <f t="shared" si="0"/>
        <v>1</v>
      </c>
      <c r="AB29" s="31" t="str">
        <f t="shared" si="1"/>
        <v>High Utilization</v>
      </c>
    </row>
    <row r="30" spans="1:28" x14ac:dyDescent="0.2">
      <c r="A30" s="8" t="s">
        <v>159</v>
      </c>
      <c r="B30" s="100" t="s">
        <v>333</v>
      </c>
      <c r="C30" s="9" t="s">
        <v>160</v>
      </c>
      <c r="D30" s="9" t="s">
        <v>62</v>
      </c>
      <c r="E30" s="9" t="s">
        <v>62</v>
      </c>
      <c r="F30" s="9" t="s">
        <v>84</v>
      </c>
      <c r="G30" s="9" t="s">
        <v>113</v>
      </c>
      <c r="H30" s="9" t="s">
        <v>31</v>
      </c>
      <c r="I30" s="9" t="s">
        <v>32</v>
      </c>
      <c r="J30" s="10">
        <v>13.53</v>
      </c>
      <c r="K30" s="10">
        <v>10.06</v>
      </c>
      <c r="L30" s="10">
        <v>11.52</v>
      </c>
      <c r="M30" s="9">
        <v>80</v>
      </c>
      <c r="N30" s="11">
        <v>45593</v>
      </c>
      <c r="O30" s="11">
        <v>45673</v>
      </c>
      <c r="P30" s="9">
        <v>6</v>
      </c>
      <c r="Q30" s="9" t="s">
        <v>33</v>
      </c>
      <c r="R30" s="9">
        <v>0</v>
      </c>
      <c r="S30" s="9" t="s">
        <v>34</v>
      </c>
      <c r="T30" s="12">
        <v>6.6E-3</v>
      </c>
      <c r="U30" s="10">
        <v>7.0000000000000007E-2</v>
      </c>
      <c r="V30" s="10">
        <v>9.35</v>
      </c>
      <c r="W30" s="12">
        <v>0.93</v>
      </c>
      <c r="X30" s="12">
        <v>0.75</v>
      </c>
      <c r="Y30" s="9" t="s">
        <v>35</v>
      </c>
      <c r="Z30" s="13" t="s">
        <v>36</v>
      </c>
      <c r="AA30" s="134">
        <f t="shared" si="0"/>
        <v>0</v>
      </c>
      <c r="AB30" s="31" t="str">
        <f t="shared" si="1"/>
        <v>None</v>
      </c>
    </row>
    <row r="31" spans="1:28" x14ac:dyDescent="0.2">
      <c r="A31" s="14" t="s">
        <v>161</v>
      </c>
      <c r="B31" s="101" t="s">
        <v>331</v>
      </c>
      <c r="C31" s="15" t="s">
        <v>123</v>
      </c>
      <c r="D31" s="15" t="s">
        <v>62</v>
      </c>
      <c r="E31" s="15" t="s">
        <v>62</v>
      </c>
      <c r="F31" s="15" t="s">
        <v>68</v>
      </c>
      <c r="G31" s="15" t="s">
        <v>162</v>
      </c>
      <c r="H31" s="15" t="s">
        <v>74</v>
      </c>
      <c r="I31" s="15" t="s">
        <v>32</v>
      </c>
      <c r="J31" s="16">
        <v>11.5</v>
      </c>
      <c r="K31" s="16">
        <v>9.73</v>
      </c>
      <c r="L31" s="16">
        <v>10.94</v>
      </c>
      <c r="M31" s="15">
        <v>61</v>
      </c>
      <c r="N31" s="17">
        <v>45531</v>
      </c>
      <c r="O31" s="17">
        <v>45592</v>
      </c>
      <c r="P31" s="15">
        <v>4</v>
      </c>
      <c r="Q31" s="15" t="s">
        <v>42</v>
      </c>
      <c r="R31" s="15">
        <v>0</v>
      </c>
      <c r="S31" s="15" t="s">
        <v>34</v>
      </c>
      <c r="T31" s="18">
        <v>1.2999999999999999E-2</v>
      </c>
      <c r="U31" s="16">
        <v>0.13</v>
      </c>
      <c r="V31" s="16">
        <v>6.42</v>
      </c>
      <c r="W31" s="18">
        <v>0.66</v>
      </c>
      <c r="X31" s="18">
        <v>0.5</v>
      </c>
      <c r="Y31" s="15" t="s">
        <v>35</v>
      </c>
      <c r="Z31" s="19" t="s">
        <v>36</v>
      </c>
      <c r="AA31" s="134">
        <f t="shared" si="0"/>
        <v>1</v>
      </c>
      <c r="AB31" s="31" t="str">
        <f t="shared" si="1"/>
        <v>Low Collateral</v>
      </c>
    </row>
    <row r="32" spans="1:28" x14ac:dyDescent="0.2">
      <c r="A32" s="8" t="s">
        <v>163</v>
      </c>
      <c r="B32" s="100" t="s">
        <v>332</v>
      </c>
      <c r="C32" s="9" t="s">
        <v>164</v>
      </c>
      <c r="D32" s="9" t="s">
        <v>53</v>
      </c>
      <c r="E32" s="9" t="s">
        <v>165</v>
      </c>
      <c r="F32" s="9" t="s">
        <v>166</v>
      </c>
      <c r="G32" s="9" t="s">
        <v>167</v>
      </c>
      <c r="H32" s="9" t="s">
        <v>86</v>
      </c>
      <c r="I32" s="9" t="s">
        <v>32</v>
      </c>
      <c r="J32" s="10">
        <v>7.37</v>
      </c>
      <c r="K32" s="10">
        <v>5.41</v>
      </c>
      <c r="L32" s="10">
        <v>5.84</v>
      </c>
      <c r="M32" s="9">
        <v>326</v>
      </c>
      <c r="N32" s="11">
        <v>45511</v>
      </c>
      <c r="O32" s="11">
        <v>45837</v>
      </c>
      <c r="P32" s="9">
        <v>6</v>
      </c>
      <c r="Q32" s="9" t="s">
        <v>33</v>
      </c>
      <c r="R32" s="9">
        <v>0</v>
      </c>
      <c r="S32" s="9" t="s">
        <v>34</v>
      </c>
      <c r="T32" s="12">
        <v>1.8200000000000001E-2</v>
      </c>
      <c r="U32" s="10">
        <v>0.1</v>
      </c>
      <c r="V32" s="10">
        <v>4.17</v>
      </c>
      <c r="W32" s="12">
        <v>0.77</v>
      </c>
      <c r="X32" s="12">
        <v>0.75</v>
      </c>
      <c r="Y32" s="9" t="s">
        <v>101</v>
      </c>
      <c r="Z32" s="13" t="s">
        <v>36</v>
      </c>
      <c r="AA32" s="134">
        <f t="shared" si="0"/>
        <v>0</v>
      </c>
      <c r="AB32" s="31" t="str">
        <f t="shared" si="1"/>
        <v>None</v>
      </c>
    </row>
    <row r="33" spans="1:28" x14ac:dyDescent="0.2">
      <c r="A33" s="14" t="s">
        <v>168</v>
      </c>
      <c r="B33" s="101" t="s">
        <v>332</v>
      </c>
      <c r="C33" s="15" t="s">
        <v>169</v>
      </c>
      <c r="D33" s="15" t="s">
        <v>53</v>
      </c>
      <c r="E33" s="15" t="s">
        <v>54</v>
      </c>
      <c r="F33" s="15" t="s">
        <v>84</v>
      </c>
      <c r="G33" s="15" t="s">
        <v>128</v>
      </c>
      <c r="H33" s="15" t="s">
        <v>57</v>
      </c>
      <c r="I33" s="15" t="s">
        <v>32</v>
      </c>
      <c r="J33" s="16">
        <v>41.57</v>
      </c>
      <c r="K33" s="16">
        <v>36.950000000000003</v>
      </c>
      <c r="L33" s="16">
        <v>39.909999999999997</v>
      </c>
      <c r="M33" s="15">
        <v>140</v>
      </c>
      <c r="N33" s="17">
        <v>45581</v>
      </c>
      <c r="O33" s="17">
        <v>45721</v>
      </c>
      <c r="P33" s="15">
        <v>4</v>
      </c>
      <c r="Q33" s="15" t="s">
        <v>42</v>
      </c>
      <c r="R33" s="15">
        <v>0</v>
      </c>
      <c r="S33" s="15" t="s">
        <v>34</v>
      </c>
      <c r="T33" s="18">
        <v>1.0200000000000001E-2</v>
      </c>
      <c r="U33" s="16">
        <v>0.38</v>
      </c>
      <c r="V33" s="16">
        <v>38.799999999999997</v>
      </c>
      <c r="W33" s="18">
        <v>1.05</v>
      </c>
      <c r="X33" s="18">
        <v>0.5</v>
      </c>
      <c r="Y33" s="15" t="s">
        <v>87</v>
      </c>
      <c r="Z33" s="19" t="s">
        <v>36</v>
      </c>
      <c r="AA33" s="134">
        <f t="shared" si="0"/>
        <v>0</v>
      </c>
      <c r="AB33" s="31" t="str">
        <f t="shared" si="1"/>
        <v>None</v>
      </c>
    </row>
    <row r="34" spans="1:28" x14ac:dyDescent="0.2">
      <c r="A34" s="8" t="s">
        <v>170</v>
      </c>
      <c r="B34" s="100" t="s">
        <v>331</v>
      </c>
      <c r="C34" s="9" t="s">
        <v>171</v>
      </c>
      <c r="D34" s="9" t="s">
        <v>46</v>
      </c>
      <c r="E34" s="9" t="s">
        <v>46</v>
      </c>
      <c r="F34" s="9" t="s">
        <v>29</v>
      </c>
      <c r="G34" s="9" t="s">
        <v>30</v>
      </c>
      <c r="H34" s="9" t="s">
        <v>65</v>
      </c>
      <c r="I34" s="9" t="s">
        <v>32</v>
      </c>
      <c r="J34" s="10">
        <v>5.81</v>
      </c>
      <c r="K34" s="10">
        <v>3.75</v>
      </c>
      <c r="L34" s="10">
        <v>3.73</v>
      </c>
      <c r="M34" s="9">
        <v>173</v>
      </c>
      <c r="N34" s="11">
        <v>45588</v>
      </c>
      <c r="O34" s="11">
        <v>45761</v>
      </c>
      <c r="P34" s="9">
        <v>6</v>
      </c>
      <c r="Q34" s="9" t="s">
        <v>33</v>
      </c>
      <c r="R34" s="9">
        <v>0</v>
      </c>
      <c r="S34" s="9" t="s">
        <v>34</v>
      </c>
      <c r="T34" s="12">
        <v>1.4800000000000001E-2</v>
      </c>
      <c r="U34" s="10">
        <v>0.06</v>
      </c>
      <c r="V34" s="10">
        <v>2.66</v>
      </c>
      <c r="W34" s="12">
        <v>0.71</v>
      </c>
      <c r="X34" s="12">
        <v>0.75</v>
      </c>
      <c r="Y34" s="9" t="s">
        <v>35</v>
      </c>
      <c r="Z34" s="13" t="s">
        <v>36</v>
      </c>
      <c r="AA34" s="134">
        <f t="shared" si="0"/>
        <v>0</v>
      </c>
      <c r="AB34" s="31" t="str">
        <f t="shared" si="1"/>
        <v>None</v>
      </c>
    </row>
    <row r="35" spans="1:28" x14ac:dyDescent="0.2">
      <c r="A35" s="14" t="s">
        <v>172</v>
      </c>
      <c r="B35" s="101" t="s">
        <v>332</v>
      </c>
      <c r="C35" s="15" t="s">
        <v>100</v>
      </c>
      <c r="D35" s="15" t="s">
        <v>62</v>
      </c>
      <c r="E35" s="15" t="s">
        <v>62</v>
      </c>
      <c r="F35" s="15" t="s">
        <v>173</v>
      </c>
      <c r="G35" s="15" t="s">
        <v>174</v>
      </c>
      <c r="H35" s="15" t="s">
        <v>41</v>
      </c>
      <c r="I35" s="15" t="s">
        <v>32</v>
      </c>
      <c r="J35" s="16">
        <v>24.38</v>
      </c>
      <c r="K35" s="16">
        <v>15.93</v>
      </c>
      <c r="L35" s="16">
        <v>17.14</v>
      </c>
      <c r="M35" s="15">
        <v>118</v>
      </c>
      <c r="N35" s="17">
        <v>45644</v>
      </c>
      <c r="O35" s="17">
        <v>45762</v>
      </c>
      <c r="P35" s="15">
        <v>4</v>
      </c>
      <c r="Q35" s="15" t="s">
        <v>42</v>
      </c>
      <c r="R35" s="15">
        <v>0</v>
      </c>
      <c r="S35" s="15" t="s">
        <v>34</v>
      </c>
      <c r="T35" s="18">
        <v>1.37E-2</v>
      </c>
      <c r="U35" s="16">
        <v>0.22</v>
      </c>
      <c r="V35" s="16">
        <v>16.73</v>
      </c>
      <c r="W35" s="18">
        <v>1.05</v>
      </c>
      <c r="X35" s="18">
        <v>0.5</v>
      </c>
      <c r="Y35" s="15" t="s">
        <v>98</v>
      </c>
      <c r="Z35" s="19" t="s">
        <v>36</v>
      </c>
      <c r="AA35" s="134">
        <f t="shared" si="0"/>
        <v>0</v>
      </c>
      <c r="AB35" s="31" t="str">
        <f t="shared" si="1"/>
        <v>None</v>
      </c>
    </row>
    <row r="36" spans="1:28" x14ac:dyDescent="0.2">
      <c r="A36" s="8" t="s">
        <v>175</v>
      </c>
      <c r="B36" s="100" t="s">
        <v>332</v>
      </c>
      <c r="C36" s="9" t="s">
        <v>176</v>
      </c>
      <c r="D36" s="9" t="s">
        <v>53</v>
      </c>
      <c r="E36" s="9" t="s">
        <v>177</v>
      </c>
      <c r="F36" s="9" t="s">
        <v>166</v>
      </c>
      <c r="G36" s="9" t="s">
        <v>178</v>
      </c>
      <c r="H36" s="9" t="s">
        <v>137</v>
      </c>
      <c r="I36" s="9" t="s">
        <v>32</v>
      </c>
      <c r="J36" s="10">
        <v>6.16</v>
      </c>
      <c r="K36" s="10">
        <v>4.87</v>
      </c>
      <c r="L36" s="10">
        <v>5.36</v>
      </c>
      <c r="M36" s="9">
        <v>193</v>
      </c>
      <c r="N36" s="11">
        <v>45501</v>
      </c>
      <c r="O36" s="11">
        <v>45694</v>
      </c>
      <c r="P36" s="9">
        <v>3</v>
      </c>
      <c r="Q36" s="9" t="s">
        <v>58</v>
      </c>
      <c r="R36" s="9">
        <v>0</v>
      </c>
      <c r="S36" s="9" t="s">
        <v>34</v>
      </c>
      <c r="T36" s="12">
        <v>1.7899999999999999E-2</v>
      </c>
      <c r="U36" s="10">
        <v>0.09</v>
      </c>
      <c r="V36" s="10">
        <v>3.75</v>
      </c>
      <c r="W36" s="12">
        <v>0.77</v>
      </c>
      <c r="X36" s="12">
        <v>0.2</v>
      </c>
      <c r="Y36" s="9" t="s">
        <v>114</v>
      </c>
      <c r="Z36" s="13" t="s">
        <v>36</v>
      </c>
      <c r="AA36" s="134">
        <f t="shared" si="0"/>
        <v>0</v>
      </c>
      <c r="AB36" s="31" t="str">
        <f t="shared" si="1"/>
        <v>None</v>
      </c>
    </row>
    <row r="37" spans="1:28" x14ac:dyDescent="0.2">
      <c r="A37" s="14" t="s">
        <v>179</v>
      </c>
      <c r="B37" s="101" t="s">
        <v>331</v>
      </c>
      <c r="C37" s="15" t="s">
        <v>180</v>
      </c>
      <c r="D37" s="15" t="s">
        <v>46</v>
      </c>
      <c r="E37" s="15" t="s">
        <v>46</v>
      </c>
      <c r="F37" s="15" t="s">
        <v>84</v>
      </c>
      <c r="G37" s="15" t="s">
        <v>128</v>
      </c>
      <c r="H37" s="15" t="s">
        <v>41</v>
      </c>
      <c r="I37" s="15" t="s">
        <v>32</v>
      </c>
      <c r="J37" s="16">
        <v>48.3</v>
      </c>
      <c r="K37" s="16">
        <v>41.67</v>
      </c>
      <c r="L37" s="16">
        <v>44.45</v>
      </c>
      <c r="M37" s="15">
        <v>65</v>
      </c>
      <c r="N37" s="17">
        <v>45600</v>
      </c>
      <c r="O37" s="17">
        <v>45665</v>
      </c>
      <c r="P37" s="15">
        <v>7</v>
      </c>
      <c r="Q37" s="15" t="s">
        <v>92</v>
      </c>
      <c r="R37" s="15">
        <v>0</v>
      </c>
      <c r="S37" s="15" t="s">
        <v>34</v>
      </c>
      <c r="T37" s="18">
        <v>1.9199999999999998E-2</v>
      </c>
      <c r="U37" s="16">
        <v>0.8</v>
      </c>
      <c r="V37" s="16">
        <v>38.75</v>
      </c>
      <c r="W37" s="18">
        <v>0.93</v>
      </c>
      <c r="X37" s="18">
        <v>0.75</v>
      </c>
      <c r="Y37" s="15" t="s">
        <v>181</v>
      </c>
      <c r="Z37" s="19" t="s">
        <v>36</v>
      </c>
      <c r="AA37" s="134">
        <f t="shared" si="0"/>
        <v>0</v>
      </c>
      <c r="AB37" s="31" t="str">
        <f t="shared" si="1"/>
        <v>None</v>
      </c>
    </row>
    <row r="38" spans="1:28" x14ac:dyDescent="0.2">
      <c r="A38" s="8" t="s">
        <v>182</v>
      </c>
      <c r="B38" s="100" t="s">
        <v>330</v>
      </c>
      <c r="C38" s="9" t="s">
        <v>132</v>
      </c>
      <c r="D38" s="9" t="s">
        <v>62</v>
      </c>
      <c r="E38" s="9" t="s">
        <v>62</v>
      </c>
      <c r="F38" s="9" t="s">
        <v>183</v>
      </c>
      <c r="G38" s="9" t="s">
        <v>184</v>
      </c>
      <c r="H38" s="9" t="s">
        <v>185</v>
      </c>
      <c r="I38" s="9" t="s">
        <v>32</v>
      </c>
      <c r="J38" s="10">
        <v>5.5</v>
      </c>
      <c r="K38" s="10">
        <v>4.29</v>
      </c>
      <c r="L38" s="10">
        <v>4.5599999999999996</v>
      </c>
      <c r="M38" s="9">
        <v>145</v>
      </c>
      <c r="N38" s="11">
        <v>45579</v>
      </c>
      <c r="O38" s="11">
        <v>45724</v>
      </c>
      <c r="P38" s="9">
        <v>4</v>
      </c>
      <c r="Q38" s="9" t="s">
        <v>42</v>
      </c>
      <c r="R38" s="9">
        <v>0</v>
      </c>
      <c r="S38" s="9" t="s">
        <v>34</v>
      </c>
      <c r="T38" s="12">
        <v>1.2999999999999999E-2</v>
      </c>
      <c r="U38" s="10">
        <v>0.06</v>
      </c>
      <c r="V38" s="10">
        <v>3.47</v>
      </c>
      <c r="W38" s="12">
        <v>0.81</v>
      </c>
      <c r="X38" s="12">
        <v>0.5</v>
      </c>
      <c r="Y38" s="9" t="s">
        <v>35</v>
      </c>
      <c r="Z38" s="13" t="s">
        <v>36</v>
      </c>
      <c r="AA38" s="134">
        <f t="shared" si="0"/>
        <v>0</v>
      </c>
      <c r="AB38" s="31" t="str">
        <f t="shared" si="1"/>
        <v>None</v>
      </c>
    </row>
    <row r="39" spans="1:28" x14ac:dyDescent="0.2">
      <c r="A39" s="14" t="s">
        <v>186</v>
      </c>
      <c r="B39" s="101" t="s">
        <v>333</v>
      </c>
      <c r="C39" s="15" t="s">
        <v>187</v>
      </c>
      <c r="D39" s="15" t="s">
        <v>77</v>
      </c>
      <c r="E39" s="15" t="s">
        <v>78</v>
      </c>
      <c r="F39" s="15" t="s">
        <v>55</v>
      </c>
      <c r="G39" s="15" t="s">
        <v>188</v>
      </c>
      <c r="H39" s="15" t="s">
        <v>65</v>
      </c>
      <c r="I39" s="15" t="s">
        <v>32</v>
      </c>
      <c r="J39" s="16">
        <v>30.09</v>
      </c>
      <c r="K39" s="16">
        <v>22.77</v>
      </c>
      <c r="L39" s="16">
        <v>21.57</v>
      </c>
      <c r="M39" s="15">
        <v>82</v>
      </c>
      <c r="N39" s="17">
        <v>45575</v>
      </c>
      <c r="O39" s="17">
        <v>45657</v>
      </c>
      <c r="P39" s="15">
        <v>3</v>
      </c>
      <c r="Q39" s="15" t="s">
        <v>58</v>
      </c>
      <c r="R39" s="15">
        <v>0</v>
      </c>
      <c r="S39" s="15" t="s">
        <v>34</v>
      </c>
      <c r="T39" s="18">
        <v>1.46E-2</v>
      </c>
      <c r="U39" s="16">
        <v>0.33</v>
      </c>
      <c r="V39" s="16">
        <v>22.09</v>
      </c>
      <c r="W39" s="18">
        <v>0.97</v>
      </c>
      <c r="X39" s="18">
        <v>0.2</v>
      </c>
      <c r="Y39" s="15" t="s">
        <v>35</v>
      </c>
      <c r="Z39" s="19" t="s">
        <v>36</v>
      </c>
      <c r="AA39" s="134">
        <f t="shared" si="0"/>
        <v>0</v>
      </c>
      <c r="AB39" s="31" t="str">
        <f t="shared" si="1"/>
        <v>None</v>
      </c>
    </row>
    <row r="40" spans="1:28" x14ac:dyDescent="0.2">
      <c r="A40" s="8" t="s">
        <v>189</v>
      </c>
      <c r="B40" s="100" t="s">
        <v>333</v>
      </c>
      <c r="C40" s="9" t="s">
        <v>190</v>
      </c>
      <c r="D40" s="9" t="s">
        <v>77</v>
      </c>
      <c r="E40" s="9" t="s">
        <v>117</v>
      </c>
      <c r="F40" s="9" t="s">
        <v>84</v>
      </c>
      <c r="G40" s="9" t="s">
        <v>85</v>
      </c>
      <c r="H40" s="9" t="s">
        <v>137</v>
      </c>
      <c r="I40" s="9" t="s">
        <v>32</v>
      </c>
      <c r="J40" s="10">
        <v>29.11</v>
      </c>
      <c r="K40" s="10">
        <v>26.5</v>
      </c>
      <c r="L40" s="10">
        <v>27.78</v>
      </c>
      <c r="M40" s="9">
        <v>283</v>
      </c>
      <c r="N40" s="11">
        <v>45436</v>
      </c>
      <c r="O40" s="11">
        <v>45719</v>
      </c>
      <c r="P40" s="9">
        <v>8</v>
      </c>
      <c r="Q40" s="9" t="s">
        <v>141</v>
      </c>
      <c r="R40" s="9">
        <v>5</v>
      </c>
      <c r="S40" s="9" t="s">
        <v>142</v>
      </c>
      <c r="T40" s="12">
        <v>6.83E-2</v>
      </c>
      <c r="U40" s="10">
        <v>1.81</v>
      </c>
      <c r="V40" s="10">
        <v>15.37</v>
      </c>
      <c r="W40" s="12">
        <v>0.57999999999999996</v>
      </c>
      <c r="X40" s="12">
        <v>1</v>
      </c>
      <c r="Y40" s="9" t="s">
        <v>59</v>
      </c>
      <c r="Z40" s="13" t="s">
        <v>144</v>
      </c>
      <c r="AA40" s="134">
        <f t="shared" si="0"/>
        <v>4</v>
      </c>
      <c r="AB40" s="31" t="str">
        <f t="shared" si="1"/>
        <v>DPD&gt;0, Sub-IG Rating, Low Collateral, Stage 2</v>
      </c>
    </row>
    <row r="41" spans="1:28" x14ac:dyDescent="0.2">
      <c r="A41" s="14" t="s">
        <v>191</v>
      </c>
      <c r="B41" s="101" t="s">
        <v>330</v>
      </c>
      <c r="C41" s="15" t="s">
        <v>192</v>
      </c>
      <c r="D41" s="15" t="s">
        <v>39</v>
      </c>
      <c r="E41" s="15" t="s">
        <v>39</v>
      </c>
      <c r="F41" s="15" t="s">
        <v>55</v>
      </c>
      <c r="G41" s="15" t="s">
        <v>120</v>
      </c>
      <c r="H41" s="15" t="s">
        <v>31</v>
      </c>
      <c r="I41" s="15" t="s">
        <v>32</v>
      </c>
      <c r="J41" s="16">
        <v>37.89</v>
      </c>
      <c r="K41" s="16">
        <v>32.97</v>
      </c>
      <c r="L41" s="16">
        <v>29.98</v>
      </c>
      <c r="M41" s="15">
        <v>130</v>
      </c>
      <c r="N41" s="17">
        <v>45361</v>
      </c>
      <c r="O41" s="17">
        <v>45491</v>
      </c>
      <c r="P41" s="15">
        <v>4</v>
      </c>
      <c r="Q41" s="15" t="s">
        <v>42</v>
      </c>
      <c r="R41" s="15">
        <v>0</v>
      </c>
      <c r="S41" s="15" t="s">
        <v>34</v>
      </c>
      <c r="T41" s="18">
        <v>1.7000000000000001E-2</v>
      </c>
      <c r="U41" s="16">
        <v>0.56000000000000005</v>
      </c>
      <c r="V41" s="16">
        <v>26.38</v>
      </c>
      <c r="W41" s="18">
        <v>0.8</v>
      </c>
      <c r="X41" s="18">
        <v>0.5</v>
      </c>
      <c r="Y41" s="15" t="s">
        <v>35</v>
      </c>
      <c r="Z41" s="19" t="s">
        <v>36</v>
      </c>
      <c r="AA41" s="134">
        <f t="shared" si="0"/>
        <v>0</v>
      </c>
      <c r="AB41" s="31" t="str">
        <f t="shared" si="1"/>
        <v>None</v>
      </c>
    </row>
    <row r="42" spans="1:28" x14ac:dyDescent="0.2">
      <c r="A42" s="8" t="s">
        <v>193</v>
      </c>
      <c r="B42" s="100" t="s">
        <v>331</v>
      </c>
      <c r="C42" s="9" t="s">
        <v>160</v>
      </c>
      <c r="D42" s="9" t="s">
        <v>62</v>
      </c>
      <c r="E42" s="9" t="s">
        <v>62</v>
      </c>
      <c r="F42" s="9" t="s">
        <v>84</v>
      </c>
      <c r="G42" s="9" t="s">
        <v>85</v>
      </c>
      <c r="H42" s="9" t="s">
        <v>194</v>
      </c>
      <c r="I42" s="9" t="s">
        <v>32</v>
      </c>
      <c r="J42" s="10">
        <v>10.83</v>
      </c>
      <c r="K42" s="10">
        <v>6.59</v>
      </c>
      <c r="L42" s="10">
        <v>5.99</v>
      </c>
      <c r="M42" s="9">
        <v>91</v>
      </c>
      <c r="N42" s="11">
        <v>45366</v>
      </c>
      <c r="O42" s="11">
        <v>45457</v>
      </c>
      <c r="P42" s="9">
        <v>5</v>
      </c>
      <c r="Q42" s="9" t="s">
        <v>49</v>
      </c>
      <c r="R42" s="9">
        <v>0</v>
      </c>
      <c r="S42" s="9" t="s">
        <v>34</v>
      </c>
      <c r="T42" s="12">
        <v>7.1999999999999998E-3</v>
      </c>
      <c r="U42" s="10">
        <v>0.05</v>
      </c>
      <c r="V42" s="10">
        <v>5.93</v>
      </c>
      <c r="W42" s="12">
        <v>0.9</v>
      </c>
      <c r="X42" s="12">
        <v>0.5</v>
      </c>
      <c r="Y42" s="9" t="s">
        <v>121</v>
      </c>
      <c r="Z42" s="13" t="s">
        <v>36</v>
      </c>
      <c r="AA42" s="134">
        <f t="shared" si="0"/>
        <v>0</v>
      </c>
      <c r="AB42" s="31" t="str">
        <f t="shared" si="1"/>
        <v>None</v>
      </c>
    </row>
    <row r="43" spans="1:28" x14ac:dyDescent="0.2">
      <c r="A43" s="14" t="s">
        <v>195</v>
      </c>
      <c r="B43" s="101" t="s">
        <v>330</v>
      </c>
      <c r="C43" s="15" t="s">
        <v>89</v>
      </c>
      <c r="D43" s="15" t="s">
        <v>62</v>
      </c>
      <c r="E43" s="15" t="s">
        <v>62</v>
      </c>
      <c r="F43" s="15" t="s">
        <v>29</v>
      </c>
      <c r="G43" s="15" t="s">
        <v>124</v>
      </c>
      <c r="H43" s="15" t="s">
        <v>57</v>
      </c>
      <c r="I43" s="15" t="s">
        <v>32</v>
      </c>
      <c r="J43" s="16">
        <v>49.73</v>
      </c>
      <c r="K43" s="16">
        <v>43.71</v>
      </c>
      <c r="L43" s="16">
        <v>48.92</v>
      </c>
      <c r="M43" s="15">
        <v>69</v>
      </c>
      <c r="N43" s="17">
        <v>45490</v>
      </c>
      <c r="O43" s="17">
        <v>45559</v>
      </c>
      <c r="P43" s="15">
        <v>6</v>
      </c>
      <c r="Q43" s="15" t="s">
        <v>33</v>
      </c>
      <c r="R43" s="15">
        <v>0</v>
      </c>
      <c r="S43" s="15" t="s">
        <v>34</v>
      </c>
      <c r="T43" s="18">
        <v>1.7399999999999999E-2</v>
      </c>
      <c r="U43" s="16">
        <v>0.76</v>
      </c>
      <c r="V43" s="16">
        <v>39.340000000000003</v>
      </c>
      <c r="W43" s="18">
        <v>0.9</v>
      </c>
      <c r="X43" s="18">
        <v>0.75</v>
      </c>
      <c r="Y43" s="15" t="s">
        <v>80</v>
      </c>
      <c r="Z43" s="19" t="s">
        <v>36</v>
      </c>
      <c r="AA43" s="134">
        <f t="shared" si="0"/>
        <v>0</v>
      </c>
      <c r="AB43" s="31" t="str">
        <f t="shared" si="1"/>
        <v>None</v>
      </c>
    </row>
    <row r="44" spans="1:28" x14ac:dyDescent="0.2">
      <c r="A44" s="8" t="s">
        <v>196</v>
      </c>
      <c r="B44" s="100" t="s">
        <v>333</v>
      </c>
      <c r="C44" s="9" t="s">
        <v>197</v>
      </c>
      <c r="D44" s="9" t="s">
        <v>77</v>
      </c>
      <c r="E44" s="9" t="s">
        <v>198</v>
      </c>
      <c r="F44" s="9" t="s">
        <v>72</v>
      </c>
      <c r="G44" s="9" t="s">
        <v>136</v>
      </c>
      <c r="H44" s="9" t="s">
        <v>74</v>
      </c>
      <c r="I44" s="9" t="s">
        <v>32</v>
      </c>
      <c r="J44" s="10">
        <v>6.76</v>
      </c>
      <c r="K44" s="10">
        <v>5.98</v>
      </c>
      <c r="L44" s="10">
        <v>6.14</v>
      </c>
      <c r="M44" s="9">
        <v>102</v>
      </c>
      <c r="N44" s="11">
        <v>45463</v>
      </c>
      <c r="O44" s="11">
        <v>45565</v>
      </c>
      <c r="P44" s="9">
        <v>7</v>
      </c>
      <c r="Q44" s="9" t="s">
        <v>92</v>
      </c>
      <c r="R44" s="9">
        <v>0</v>
      </c>
      <c r="S44" s="9" t="s">
        <v>34</v>
      </c>
      <c r="T44" s="12">
        <v>1.37E-2</v>
      </c>
      <c r="U44" s="10">
        <v>0.08</v>
      </c>
      <c r="V44" s="10">
        <v>4.1900000000000004</v>
      </c>
      <c r="W44" s="12">
        <v>0.7</v>
      </c>
      <c r="X44" s="12">
        <v>0.75</v>
      </c>
      <c r="Y44" s="9" t="s">
        <v>35</v>
      </c>
      <c r="Z44" s="13" t="s">
        <v>36</v>
      </c>
      <c r="AA44" s="134">
        <f t="shared" si="0"/>
        <v>0</v>
      </c>
      <c r="AB44" s="31" t="str">
        <f t="shared" si="1"/>
        <v>None</v>
      </c>
    </row>
    <row r="45" spans="1:28" x14ac:dyDescent="0.2">
      <c r="A45" s="14" t="s">
        <v>199</v>
      </c>
      <c r="B45" s="101" t="s">
        <v>333</v>
      </c>
      <c r="C45" s="15" t="s">
        <v>200</v>
      </c>
      <c r="D45" s="15" t="s">
        <v>77</v>
      </c>
      <c r="E45" s="15" t="s">
        <v>78</v>
      </c>
      <c r="F45" s="15" t="s">
        <v>47</v>
      </c>
      <c r="G45" s="15" t="s">
        <v>201</v>
      </c>
      <c r="H45" s="15" t="s">
        <v>57</v>
      </c>
      <c r="I45" s="15" t="s">
        <v>32</v>
      </c>
      <c r="J45" s="16">
        <v>49.12</v>
      </c>
      <c r="K45" s="16">
        <v>46.5</v>
      </c>
      <c r="L45" s="16">
        <v>46.63</v>
      </c>
      <c r="M45" s="15">
        <v>50</v>
      </c>
      <c r="N45" s="17">
        <v>45599</v>
      </c>
      <c r="O45" s="17">
        <v>45649</v>
      </c>
      <c r="P45" s="15">
        <v>5</v>
      </c>
      <c r="Q45" s="15" t="s">
        <v>49</v>
      </c>
      <c r="R45" s="15">
        <v>0</v>
      </c>
      <c r="S45" s="15" t="s">
        <v>34</v>
      </c>
      <c r="T45" s="18">
        <v>7.3000000000000001E-3</v>
      </c>
      <c r="U45" s="16">
        <v>0.34</v>
      </c>
      <c r="V45" s="16">
        <v>43.44</v>
      </c>
      <c r="W45" s="18">
        <v>0.93</v>
      </c>
      <c r="X45" s="18">
        <v>0.5</v>
      </c>
      <c r="Y45" s="15" t="s">
        <v>43</v>
      </c>
      <c r="Z45" s="19" t="s">
        <v>36</v>
      </c>
      <c r="AA45" s="134">
        <f t="shared" si="0"/>
        <v>0</v>
      </c>
      <c r="AB45" s="31" t="str">
        <f t="shared" si="1"/>
        <v>None</v>
      </c>
    </row>
    <row r="46" spans="1:28" x14ac:dyDescent="0.2">
      <c r="A46" s="8" t="s">
        <v>202</v>
      </c>
      <c r="B46" s="100" t="s">
        <v>330</v>
      </c>
      <c r="C46" s="9" t="s">
        <v>203</v>
      </c>
      <c r="D46" s="9" t="s">
        <v>39</v>
      </c>
      <c r="E46" s="9" t="s">
        <v>39</v>
      </c>
      <c r="F46" s="9" t="s">
        <v>72</v>
      </c>
      <c r="G46" s="9" t="s">
        <v>73</v>
      </c>
      <c r="H46" s="9" t="s">
        <v>41</v>
      </c>
      <c r="I46" s="9" t="s">
        <v>32</v>
      </c>
      <c r="J46" s="10">
        <v>42.63</v>
      </c>
      <c r="K46" s="10">
        <v>28.46</v>
      </c>
      <c r="L46" s="10">
        <v>30.78</v>
      </c>
      <c r="M46" s="9">
        <v>56</v>
      </c>
      <c r="N46" s="11">
        <v>45553</v>
      </c>
      <c r="O46" s="11">
        <v>45609</v>
      </c>
      <c r="P46" s="9">
        <v>4</v>
      </c>
      <c r="Q46" s="9" t="s">
        <v>42</v>
      </c>
      <c r="R46" s="9">
        <v>0</v>
      </c>
      <c r="S46" s="9" t="s">
        <v>34</v>
      </c>
      <c r="T46" s="12">
        <v>1.7600000000000001E-2</v>
      </c>
      <c r="U46" s="10">
        <v>0.5</v>
      </c>
      <c r="V46" s="10">
        <v>27.04</v>
      </c>
      <c r="W46" s="12">
        <v>0.95</v>
      </c>
      <c r="X46" s="12">
        <v>0.5</v>
      </c>
      <c r="Y46" s="9" t="s">
        <v>138</v>
      </c>
      <c r="Z46" s="13" t="s">
        <v>36</v>
      </c>
      <c r="AA46" s="134">
        <f t="shared" si="0"/>
        <v>0</v>
      </c>
      <c r="AB46" s="31" t="str">
        <f t="shared" si="1"/>
        <v>None</v>
      </c>
    </row>
    <row r="47" spans="1:28" x14ac:dyDescent="0.2">
      <c r="A47" s="14" t="s">
        <v>204</v>
      </c>
      <c r="B47" s="101" t="s">
        <v>332</v>
      </c>
      <c r="C47" s="15" t="s">
        <v>205</v>
      </c>
      <c r="D47" s="15" t="s">
        <v>53</v>
      </c>
      <c r="E47" s="15" t="s">
        <v>206</v>
      </c>
      <c r="F47" s="15" t="s">
        <v>55</v>
      </c>
      <c r="G47" s="15" t="s">
        <v>207</v>
      </c>
      <c r="H47" s="15" t="s">
        <v>65</v>
      </c>
      <c r="I47" s="15" t="s">
        <v>32</v>
      </c>
      <c r="J47" s="16">
        <v>37.159999999999997</v>
      </c>
      <c r="K47" s="16">
        <v>24.38</v>
      </c>
      <c r="L47" s="16">
        <v>22.46</v>
      </c>
      <c r="M47" s="15">
        <v>174</v>
      </c>
      <c r="N47" s="17">
        <v>45562</v>
      </c>
      <c r="O47" s="17">
        <v>45736</v>
      </c>
      <c r="P47" s="15">
        <v>2</v>
      </c>
      <c r="Q47" s="15" t="s">
        <v>125</v>
      </c>
      <c r="R47" s="15">
        <v>0</v>
      </c>
      <c r="S47" s="15" t="s">
        <v>34</v>
      </c>
      <c r="T47" s="18">
        <v>1.26E-2</v>
      </c>
      <c r="U47" s="16">
        <v>0.31</v>
      </c>
      <c r="V47" s="16">
        <v>17.07</v>
      </c>
      <c r="W47" s="18">
        <v>0.7</v>
      </c>
      <c r="X47" s="18">
        <v>0.2</v>
      </c>
      <c r="Y47" s="15" t="s">
        <v>35</v>
      </c>
      <c r="Z47" s="19" t="s">
        <v>36</v>
      </c>
      <c r="AA47" s="134">
        <f t="shared" si="0"/>
        <v>0</v>
      </c>
      <c r="AB47" s="31" t="str">
        <f t="shared" si="1"/>
        <v>None</v>
      </c>
    </row>
    <row r="48" spans="1:28" x14ac:dyDescent="0.2">
      <c r="A48" s="8" t="s">
        <v>208</v>
      </c>
      <c r="B48" s="100" t="s">
        <v>331</v>
      </c>
      <c r="C48" s="9" t="s">
        <v>209</v>
      </c>
      <c r="D48" s="9" t="s">
        <v>62</v>
      </c>
      <c r="E48" s="9" t="s">
        <v>62</v>
      </c>
      <c r="F48" s="9" t="s">
        <v>90</v>
      </c>
      <c r="G48" s="9" t="s">
        <v>210</v>
      </c>
      <c r="H48" s="9" t="s">
        <v>41</v>
      </c>
      <c r="I48" s="9" t="s">
        <v>32</v>
      </c>
      <c r="J48" s="10">
        <v>37.17</v>
      </c>
      <c r="K48" s="10">
        <v>33.450000000000003</v>
      </c>
      <c r="L48" s="10">
        <v>37.56</v>
      </c>
      <c r="M48" s="9">
        <v>47</v>
      </c>
      <c r="N48" s="11">
        <v>45312</v>
      </c>
      <c r="O48" s="11">
        <v>45359</v>
      </c>
      <c r="P48" s="9">
        <v>5</v>
      </c>
      <c r="Q48" s="9" t="s">
        <v>49</v>
      </c>
      <c r="R48" s="9">
        <v>0</v>
      </c>
      <c r="S48" s="9" t="s">
        <v>34</v>
      </c>
      <c r="T48" s="12">
        <v>1.0999999999999999E-2</v>
      </c>
      <c r="U48" s="10">
        <v>0.37</v>
      </c>
      <c r="V48" s="10">
        <v>31.44</v>
      </c>
      <c r="W48" s="12">
        <v>0.94</v>
      </c>
      <c r="X48" s="12">
        <v>0.5</v>
      </c>
      <c r="Y48" s="9" t="s">
        <v>121</v>
      </c>
      <c r="Z48" s="13" t="s">
        <v>36</v>
      </c>
      <c r="AA48" s="134">
        <f t="shared" si="0"/>
        <v>0</v>
      </c>
      <c r="AB48" s="31" t="str">
        <f t="shared" si="1"/>
        <v>None</v>
      </c>
    </row>
    <row r="49" spans="1:28" x14ac:dyDescent="0.2">
      <c r="A49" s="14" t="s">
        <v>211</v>
      </c>
      <c r="B49" s="101" t="s">
        <v>330</v>
      </c>
      <c r="C49" s="15" t="s">
        <v>212</v>
      </c>
      <c r="D49" s="15" t="s">
        <v>39</v>
      </c>
      <c r="E49" s="15" t="s">
        <v>39</v>
      </c>
      <c r="F49" s="15" t="s">
        <v>173</v>
      </c>
      <c r="G49" s="15" t="s">
        <v>213</v>
      </c>
      <c r="H49" s="15" t="s">
        <v>86</v>
      </c>
      <c r="I49" s="15" t="s">
        <v>32</v>
      </c>
      <c r="J49" s="16">
        <v>19.170000000000002</v>
      </c>
      <c r="K49" s="16">
        <v>14.76</v>
      </c>
      <c r="L49" s="16">
        <v>14.31</v>
      </c>
      <c r="M49" s="15">
        <v>349</v>
      </c>
      <c r="N49" s="17">
        <v>45528</v>
      </c>
      <c r="O49" s="17">
        <v>45877</v>
      </c>
      <c r="P49" s="15">
        <v>6</v>
      </c>
      <c r="Q49" s="15" t="s">
        <v>33</v>
      </c>
      <c r="R49" s="15">
        <v>0</v>
      </c>
      <c r="S49" s="15" t="s">
        <v>34</v>
      </c>
      <c r="T49" s="18">
        <v>1.3299999999999999E-2</v>
      </c>
      <c r="U49" s="16">
        <v>0.2</v>
      </c>
      <c r="V49" s="16">
        <v>8.1199999999999992</v>
      </c>
      <c r="W49" s="18">
        <v>0.55000000000000004</v>
      </c>
      <c r="X49" s="18">
        <v>0.75</v>
      </c>
      <c r="Y49" s="15" t="s">
        <v>143</v>
      </c>
      <c r="Z49" s="19" t="s">
        <v>36</v>
      </c>
      <c r="AA49" s="134">
        <f t="shared" si="0"/>
        <v>1</v>
      </c>
      <c r="AB49" s="31" t="str">
        <f t="shared" si="1"/>
        <v>Low Collateral</v>
      </c>
    </row>
    <row r="50" spans="1:28" x14ac:dyDescent="0.2">
      <c r="A50" s="8" t="s">
        <v>214</v>
      </c>
      <c r="B50" s="100" t="s">
        <v>334</v>
      </c>
      <c r="C50" s="9" t="s">
        <v>215</v>
      </c>
      <c r="D50" s="9" t="s">
        <v>27</v>
      </c>
      <c r="E50" s="9" t="s">
        <v>216</v>
      </c>
      <c r="F50" s="9" t="s">
        <v>84</v>
      </c>
      <c r="G50" s="9" t="s">
        <v>128</v>
      </c>
      <c r="H50" s="9" t="s">
        <v>57</v>
      </c>
      <c r="I50" s="9" t="s">
        <v>32</v>
      </c>
      <c r="J50" s="10">
        <v>38.380000000000003</v>
      </c>
      <c r="K50" s="10">
        <v>28.96</v>
      </c>
      <c r="L50" s="10">
        <v>27.44</v>
      </c>
      <c r="M50" s="9">
        <v>164</v>
      </c>
      <c r="N50" s="11">
        <v>45453</v>
      </c>
      <c r="O50" s="11">
        <v>45617</v>
      </c>
      <c r="P50" s="9">
        <v>3</v>
      </c>
      <c r="Q50" s="9" t="s">
        <v>58</v>
      </c>
      <c r="R50" s="9">
        <v>0</v>
      </c>
      <c r="S50" s="9" t="s">
        <v>34</v>
      </c>
      <c r="T50" s="12">
        <v>5.7999999999999996E-3</v>
      </c>
      <c r="U50" s="10">
        <v>0.17</v>
      </c>
      <c r="V50" s="10">
        <v>27.51</v>
      </c>
      <c r="W50" s="12">
        <v>0.95</v>
      </c>
      <c r="X50" s="12">
        <v>0.2</v>
      </c>
      <c r="Y50" s="9" t="s">
        <v>217</v>
      </c>
      <c r="Z50" s="13" t="s">
        <v>36</v>
      </c>
      <c r="AA50" s="134">
        <f t="shared" si="0"/>
        <v>0</v>
      </c>
      <c r="AB50" s="31" t="str">
        <f t="shared" si="1"/>
        <v>None</v>
      </c>
    </row>
    <row r="51" spans="1:28" x14ac:dyDescent="0.2">
      <c r="A51" s="14" t="s">
        <v>218</v>
      </c>
      <c r="B51" s="101" t="s">
        <v>332</v>
      </c>
      <c r="C51" s="15" t="s">
        <v>219</v>
      </c>
      <c r="D51" s="15" t="s">
        <v>53</v>
      </c>
      <c r="E51" s="15" t="s">
        <v>54</v>
      </c>
      <c r="F51" s="15" t="s">
        <v>29</v>
      </c>
      <c r="G51" s="15" t="s">
        <v>124</v>
      </c>
      <c r="H51" s="15" t="s">
        <v>41</v>
      </c>
      <c r="I51" s="15" t="s">
        <v>32</v>
      </c>
      <c r="J51" s="16">
        <v>16.05</v>
      </c>
      <c r="K51" s="16">
        <v>10.18</v>
      </c>
      <c r="L51" s="16">
        <v>10.88</v>
      </c>
      <c r="M51" s="15">
        <v>110</v>
      </c>
      <c r="N51" s="17">
        <v>45463</v>
      </c>
      <c r="O51" s="17">
        <v>45573</v>
      </c>
      <c r="P51" s="15">
        <v>4</v>
      </c>
      <c r="Q51" s="15" t="s">
        <v>42</v>
      </c>
      <c r="R51" s="15">
        <v>0</v>
      </c>
      <c r="S51" s="15" t="s">
        <v>34</v>
      </c>
      <c r="T51" s="18">
        <v>1.44E-2</v>
      </c>
      <c r="U51" s="16">
        <v>0.15</v>
      </c>
      <c r="V51" s="16">
        <v>9.57</v>
      </c>
      <c r="W51" s="18">
        <v>0.94</v>
      </c>
      <c r="X51" s="18">
        <v>0.5</v>
      </c>
      <c r="Y51" s="15" t="s">
        <v>87</v>
      </c>
      <c r="Z51" s="19" t="s">
        <v>36</v>
      </c>
      <c r="AA51" s="134">
        <f t="shared" si="0"/>
        <v>0</v>
      </c>
      <c r="AB51" s="31" t="str">
        <f t="shared" si="1"/>
        <v>None</v>
      </c>
    </row>
    <row r="52" spans="1:28" x14ac:dyDescent="0.2">
      <c r="A52" s="8" t="s">
        <v>220</v>
      </c>
      <c r="B52" s="100" t="s">
        <v>330</v>
      </c>
      <c r="C52" s="9" t="s">
        <v>221</v>
      </c>
      <c r="D52" s="9" t="s">
        <v>27</v>
      </c>
      <c r="E52" s="9" t="s">
        <v>28</v>
      </c>
      <c r="F52" s="9" t="s">
        <v>84</v>
      </c>
      <c r="G52" s="9" t="s">
        <v>85</v>
      </c>
      <c r="H52" s="9" t="s">
        <v>65</v>
      </c>
      <c r="I52" s="9" t="s">
        <v>32</v>
      </c>
      <c r="J52" s="10">
        <v>23.67</v>
      </c>
      <c r="K52" s="10">
        <v>22.02</v>
      </c>
      <c r="L52" s="10">
        <v>23.18</v>
      </c>
      <c r="M52" s="9">
        <v>43</v>
      </c>
      <c r="N52" s="11">
        <v>45339</v>
      </c>
      <c r="O52" s="11">
        <v>45382</v>
      </c>
      <c r="P52" s="9">
        <v>6</v>
      </c>
      <c r="Q52" s="9" t="s">
        <v>33</v>
      </c>
      <c r="R52" s="9">
        <v>0</v>
      </c>
      <c r="S52" s="9" t="s">
        <v>34</v>
      </c>
      <c r="T52" s="12">
        <v>1.7500000000000002E-2</v>
      </c>
      <c r="U52" s="10">
        <v>0.39</v>
      </c>
      <c r="V52" s="10">
        <v>16.64</v>
      </c>
      <c r="W52" s="12">
        <v>0.76</v>
      </c>
      <c r="X52" s="12">
        <v>0.75</v>
      </c>
      <c r="Y52" s="9" t="s">
        <v>35</v>
      </c>
      <c r="Z52" s="13" t="s">
        <v>36</v>
      </c>
      <c r="AA52" s="134">
        <f t="shared" si="0"/>
        <v>0</v>
      </c>
      <c r="AB52" s="31" t="str">
        <f t="shared" si="1"/>
        <v>None</v>
      </c>
    </row>
    <row r="53" spans="1:28" x14ac:dyDescent="0.2">
      <c r="A53" s="14" t="s">
        <v>222</v>
      </c>
      <c r="B53" s="101" t="s">
        <v>334</v>
      </c>
      <c r="C53" s="15" t="s">
        <v>223</v>
      </c>
      <c r="D53" s="15" t="s">
        <v>27</v>
      </c>
      <c r="E53" s="15" t="s">
        <v>216</v>
      </c>
      <c r="F53" s="15" t="s">
        <v>173</v>
      </c>
      <c r="G53" s="15" t="s">
        <v>213</v>
      </c>
      <c r="H53" s="15" t="s">
        <v>86</v>
      </c>
      <c r="I53" s="15" t="s">
        <v>32</v>
      </c>
      <c r="J53" s="16">
        <v>3.94</v>
      </c>
      <c r="K53" s="16">
        <v>3.73</v>
      </c>
      <c r="L53" s="16">
        <v>3.92</v>
      </c>
      <c r="M53" s="15">
        <v>256</v>
      </c>
      <c r="N53" s="17">
        <v>45481</v>
      </c>
      <c r="O53" s="17">
        <v>45737</v>
      </c>
      <c r="P53" s="15">
        <v>5</v>
      </c>
      <c r="Q53" s="15" t="s">
        <v>49</v>
      </c>
      <c r="R53" s="15">
        <v>0</v>
      </c>
      <c r="S53" s="15" t="s">
        <v>34</v>
      </c>
      <c r="T53" s="18">
        <v>1.3899999999999999E-2</v>
      </c>
      <c r="U53" s="16">
        <v>0.05</v>
      </c>
      <c r="V53" s="16">
        <v>3.54</v>
      </c>
      <c r="W53" s="18">
        <v>0.95</v>
      </c>
      <c r="X53" s="18">
        <v>0.5</v>
      </c>
      <c r="Y53" s="15" t="s">
        <v>224</v>
      </c>
      <c r="Z53" s="19" t="s">
        <v>36</v>
      </c>
      <c r="AA53" s="134">
        <f t="shared" si="0"/>
        <v>0</v>
      </c>
      <c r="AB53" s="31" t="str">
        <f t="shared" si="1"/>
        <v>None</v>
      </c>
    </row>
    <row r="54" spans="1:28" x14ac:dyDescent="0.2">
      <c r="A54" s="8" t="s">
        <v>225</v>
      </c>
      <c r="B54" s="100" t="s">
        <v>332</v>
      </c>
      <c r="C54" s="9" t="s">
        <v>226</v>
      </c>
      <c r="D54" s="9" t="s">
        <v>53</v>
      </c>
      <c r="E54" s="9" t="s">
        <v>206</v>
      </c>
      <c r="F54" s="9" t="s">
        <v>84</v>
      </c>
      <c r="G54" s="9" t="s">
        <v>128</v>
      </c>
      <c r="H54" s="9" t="s">
        <v>41</v>
      </c>
      <c r="I54" s="9" t="s">
        <v>32</v>
      </c>
      <c r="J54" s="10">
        <v>36.450000000000003</v>
      </c>
      <c r="K54" s="10">
        <v>33.229999999999997</v>
      </c>
      <c r="L54" s="10">
        <v>35.08</v>
      </c>
      <c r="M54" s="9">
        <v>65</v>
      </c>
      <c r="N54" s="11">
        <v>45493</v>
      </c>
      <c r="O54" s="11">
        <v>45558</v>
      </c>
      <c r="P54" s="9">
        <v>5</v>
      </c>
      <c r="Q54" s="9" t="s">
        <v>49</v>
      </c>
      <c r="R54" s="9">
        <v>0</v>
      </c>
      <c r="S54" s="9" t="s">
        <v>34</v>
      </c>
      <c r="T54" s="12">
        <v>1.52E-2</v>
      </c>
      <c r="U54" s="10">
        <v>0.51</v>
      </c>
      <c r="V54" s="10">
        <v>27.25</v>
      </c>
      <c r="W54" s="12">
        <v>0.82</v>
      </c>
      <c r="X54" s="12">
        <v>0.5</v>
      </c>
      <c r="Y54" s="9" t="s">
        <v>95</v>
      </c>
      <c r="Z54" s="13" t="s">
        <v>36</v>
      </c>
      <c r="AA54" s="134">
        <f t="shared" si="0"/>
        <v>0</v>
      </c>
      <c r="AB54" s="31" t="str">
        <f t="shared" si="1"/>
        <v>None</v>
      </c>
    </row>
    <row r="55" spans="1:28" x14ac:dyDescent="0.2">
      <c r="A55" s="14" t="s">
        <v>227</v>
      </c>
      <c r="B55" s="101" t="s">
        <v>332</v>
      </c>
      <c r="C55" s="15" t="s">
        <v>228</v>
      </c>
      <c r="D55" s="15" t="s">
        <v>53</v>
      </c>
      <c r="E55" s="15" t="s">
        <v>165</v>
      </c>
      <c r="F55" s="15" t="s">
        <v>47</v>
      </c>
      <c r="G55" s="15" t="s">
        <v>229</v>
      </c>
      <c r="H55" s="15" t="s">
        <v>74</v>
      </c>
      <c r="I55" s="15" t="s">
        <v>32</v>
      </c>
      <c r="J55" s="16">
        <v>19.95</v>
      </c>
      <c r="K55" s="16">
        <v>16.920000000000002</v>
      </c>
      <c r="L55" s="16">
        <v>17.18</v>
      </c>
      <c r="M55" s="15">
        <v>115</v>
      </c>
      <c r="N55" s="17">
        <v>45572</v>
      </c>
      <c r="O55" s="17">
        <v>45687</v>
      </c>
      <c r="P55" s="15">
        <v>4</v>
      </c>
      <c r="Q55" s="15" t="s">
        <v>42</v>
      </c>
      <c r="R55" s="15">
        <v>0</v>
      </c>
      <c r="S55" s="15" t="s">
        <v>34</v>
      </c>
      <c r="T55" s="18">
        <v>8.3000000000000001E-3</v>
      </c>
      <c r="U55" s="16">
        <v>0.14000000000000001</v>
      </c>
      <c r="V55" s="16">
        <v>10.15</v>
      </c>
      <c r="W55" s="18">
        <v>0.6</v>
      </c>
      <c r="X55" s="18">
        <v>0.5</v>
      </c>
      <c r="Y55" s="15" t="s">
        <v>35</v>
      </c>
      <c r="Z55" s="19" t="s">
        <v>36</v>
      </c>
      <c r="AA55" s="134">
        <f t="shared" si="0"/>
        <v>1</v>
      </c>
      <c r="AB55" s="31" t="str">
        <f t="shared" si="1"/>
        <v>Low Collateral</v>
      </c>
    </row>
    <row r="56" spans="1:28" x14ac:dyDescent="0.2">
      <c r="A56" s="8" t="s">
        <v>230</v>
      </c>
      <c r="B56" s="100" t="s">
        <v>331</v>
      </c>
      <c r="C56" s="9" t="s">
        <v>231</v>
      </c>
      <c r="D56" s="9" t="s">
        <v>46</v>
      </c>
      <c r="E56" s="9" t="s">
        <v>46</v>
      </c>
      <c r="F56" s="9" t="s">
        <v>183</v>
      </c>
      <c r="G56" s="9" t="s">
        <v>232</v>
      </c>
      <c r="H56" s="9" t="s">
        <v>57</v>
      </c>
      <c r="I56" s="9" t="s">
        <v>32</v>
      </c>
      <c r="J56" s="10">
        <v>7.64</v>
      </c>
      <c r="K56" s="10">
        <v>6.39</v>
      </c>
      <c r="L56" s="10">
        <v>6.62</v>
      </c>
      <c r="M56" s="9">
        <v>134</v>
      </c>
      <c r="N56" s="11">
        <v>45579</v>
      </c>
      <c r="O56" s="11">
        <v>45713</v>
      </c>
      <c r="P56" s="9">
        <v>6</v>
      </c>
      <c r="Q56" s="9" t="s">
        <v>33</v>
      </c>
      <c r="R56" s="9">
        <v>0</v>
      </c>
      <c r="S56" s="9" t="s">
        <v>34</v>
      </c>
      <c r="T56" s="12">
        <v>1.8200000000000001E-2</v>
      </c>
      <c r="U56" s="10">
        <v>0.12</v>
      </c>
      <c r="V56" s="10">
        <v>5.37</v>
      </c>
      <c r="W56" s="12">
        <v>0.84</v>
      </c>
      <c r="X56" s="12">
        <v>0.75</v>
      </c>
      <c r="Y56" s="9" t="s">
        <v>151</v>
      </c>
      <c r="Z56" s="13" t="s">
        <v>36</v>
      </c>
      <c r="AA56" s="134">
        <f t="shared" si="0"/>
        <v>0</v>
      </c>
      <c r="AB56" s="31" t="str">
        <f t="shared" si="1"/>
        <v>None</v>
      </c>
    </row>
    <row r="57" spans="1:28" x14ac:dyDescent="0.2">
      <c r="A57" s="14" t="s">
        <v>233</v>
      </c>
      <c r="B57" s="101" t="s">
        <v>330</v>
      </c>
      <c r="C57" s="15" t="s">
        <v>119</v>
      </c>
      <c r="D57" s="15" t="s">
        <v>62</v>
      </c>
      <c r="E57" s="15" t="s">
        <v>62</v>
      </c>
      <c r="F57" s="15" t="s">
        <v>84</v>
      </c>
      <c r="G57" s="15" t="s">
        <v>113</v>
      </c>
      <c r="H57" s="15" t="s">
        <v>234</v>
      </c>
      <c r="I57" s="15" t="s">
        <v>32</v>
      </c>
      <c r="J57" s="16">
        <v>15.37</v>
      </c>
      <c r="K57" s="16">
        <v>11.93</v>
      </c>
      <c r="L57" s="16">
        <v>12.83</v>
      </c>
      <c r="M57" s="15">
        <v>214</v>
      </c>
      <c r="N57" s="17">
        <v>45394</v>
      </c>
      <c r="O57" s="17">
        <v>45608</v>
      </c>
      <c r="P57" s="15">
        <v>5</v>
      </c>
      <c r="Q57" s="15" t="s">
        <v>49</v>
      </c>
      <c r="R57" s="15">
        <v>0</v>
      </c>
      <c r="S57" s="15" t="s">
        <v>34</v>
      </c>
      <c r="T57" s="18">
        <v>1.11E-2</v>
      </c>
      <c r="U57" s="16">
        <v>0.13</v>
      </c>
      <c r="V57" s="16">
        <v>9.3000000000000007</v>
      </c>
      <c r="W57" s="18">
        <v>0.78</v>
      </c>
      <c r="X57" s="18">
        <v>0.5</v>
      </c>
      <c r="Y57" s="15" t="s">
        <v>35</v>
      </c>
      <c r="Z57" s="19" t="s">
        <v>36</v>
      </c>
      <c r="AA57" s="134">
        <f t="shared" si="0"/>
        <v>0</v>
      </c>
      <c r="AB57" s="31" t="str">
        <f t="shared" si="1"/>
        <v>None</v>
      </c>
    </row>
    <row r="58" spans="1:28" x14ac:dyDescent="0.2">
      <c r="A58" s="8" t="s">
        <v>235</v>
      </c>
      <c r="B58" s="100" t="s">
        <v>330</v>
      </c>
      <c r="C58" s="9" t="s">
        <v>236</v>
      </c>
      <c r="D58" s="9" t="s">
        <v>27</v>
      </c>
      <c r="E58" s="9" t="s">
        <v>237</v>
      </c>
      <c r="F58" s="9" t="s">
        <v>55</v>
      </c>
      <c r="G58" s="9" t="s">
        <v>207</v>
      </c>
      <c r="H58" s="9" t="s">
        <v>57</v>
      </c>
      <c r="I58" s="9" t="s">
        <v>32</v>
      </c>
      <c r="J58" s="10">
        <v>46.32</v>
      </c>
      <c r="K58" s="10">
        <v>29.46</v>
      </c>
      <c r="L58" s="10">
        <v>25.73</v>
      </c>
      <c r="M58" s="9">
        <v>155</v>
      </c>
      <c r="N58" s="11">
        <v>45313</v>
      </c>
      <c r="O58" s="11">
        <v>45468</v>
      </c>
      <c r="P58" s="9">
        <v>1</v>
      </c>
      <c r="Q58" s="9" t="s">
        <v>238</v>
      </c>
      <c r="R58" s="9">
        <v>0</v>
      </c>
      <c r="S58" s="9" t="s">
        <v>34</v>
      </c>
      <c r="T58" s="12">
        <v>6.6E-3</v>
      </c>
      <c r="U58" s="10">
        <v>0.19</v>
      </c>
      <c r="V58" s="10">
        <v>25.53</v>
      </c>
      <c r="W58" s="12">
        <v>0.87</v>
      </c>
      <c r="X58" s="12">
        <v>0.2</v>
      </c>
      <c r="Y58" s="9" t="s">
        <v>239</v>
      </c>
      <c r="Z58" s="13" t="s">
        <v>36</v>
      </c>
      <c r="AA58" s="134">
        <f t="shared" si="0"/>
        <v>0</v>
      </c>
      <c r="AB58" s="31" t="str">
        <f t="shared" si="1"/>
        <v>None</v>
      </c>
    </row>
    <row r="59" spans="1:28" x14ac:dyDescent="0.2">
      <c r="A59" s="14" t="s">
        <v>240</v>
      </c>
      <c r="B59" s="101" t="s">
        <v>331</v>
      </c>
      <c r="C59" s="15" t="s">
        <v>241</v>
      </c>
      <c r="D59" s="15" t="s">
        <v>46</v>
      </c>
      <c r="E59" s="15" t="s">
        <v>46</v>
      </c>
      <c r="F59" s="15" t="s">
        <v>183</v>
      </c>
      <c r="G59" s="15" t="s">
        <v>242</v>
      </c>
      <c r="H59" s="15" t="s">
        <v>31</v>
      </c>
      <c r="I59" s="15" t="s">
        <v>32</v>
      </c>
      <c r="J59" s="16">
        <v>10.17</v>
      </c>
      <c r="K59" s="16">
        <v>6.51</v>
      </c>
      <c r="L59" s="16">
        <v>5.96</v>
      </c>
      <c r="M59" s="15">
        <v>56</v>
      </c>
      <c r="N59" s="17">
        <v>45543</v>
      </c>
      <c r="O59" s="17">
        <v>45599</v>
      </c>
      <c r="P59" s="15">
        <v>8</v>
      </c>
      <c r="Q59" s="15" t="s">
        <v>141</v>
      </c>
      <c r="R59" s="15">
        <v>25</v>
      </c>
      <c r="S59" s="15" t="s">
        <v>142</v>
      </c>
      <c r="T59" s="18">
        <v>0.112</v>
      </c>
      <c r="U59" s="16">
        <v>0.73</v>
      </c>
      <c r="V59" s="16">
        <v>4.8099999999999996</v>
      </c>
      <c r="W59" s="18">
        <v>0.74</v>
      </c>
      <c r="X59" s="18">
        <v>1</v>
      </c>
      <c r="Y59" s="15" t="s">
        <v>35</v>
      </c>
      <c r="Z59" s="19" t="s">
        <v>144</v>
      </c>
      <c r="AA59" s="134">
        <f t="shared" si="0"/>
        <v>3</v>
      </c>
      <c r="AB59" s="31" t="str">
        <f t="shared" si="1"/>
        <v>DPD&gt;0, Sub-IG Rating, Stage 2</v>
      </c>
    </row>
    <row r="60" spans="1:28" x14ac:dyDescent="0.2">
      <c r="A60" s="8" t="s">
        <v>243</v>
      </c>
      <c r="B60" s="100" t="s">
        <v>332</v>
      </c>
      <c r="C60" s="9" t="s">
        <v>244</v>
      </c>
      <c r="D60" s="9" t="s">
        <v>53</v>
      </c>
      <c r="E60" s="9" t="s">
        <v>206</v>
      </c>
      <c r="F60" s="9" t="s">
        <v>84</v>
      </c>
      <c r="G60" s="9" t="s">
        <v>154</v>
      </c>
      <c r="H60" s="9" t="s">
        <v>65</v>
      </c>
      <c r="I60" s="9" t="s">
        <v>32</v>
      </c>
      <c r="J60" s="10">
        <v>24.98</v>
      </c>
      <c r="K60" s="10">
        <v>19.850000000000001</v>
      </c>
      <c r="L60" s="10">
        <v>21.36</v>
      </c>
      <c r="M60" s="9">
        <v>53</v>
      </c>
      <c r="N60" s="11">
        <v>45507</v>
      </c>
      <c r="O60" s="11">
        <v>45560</v>
      </c>
      <c r="P60" s="9">
        <v>4</v>
      </c>
      <c r="Q60" s="9" t="s">
        <v>42</v>
      </c>
      <c r="R60" s="9">
        <v>0</v>
      </c>
      <c r="S60" s="9" t="s">
        <v>34</v>
      </c>
      <c r="T60" s="12">
        <v>1.6400000000000001E-2</v>
      </c>
      <c r="U60" s="10">
        <v>0.33</v>
      </c>
      <c r="V60" s="10">
        <v>16.670000000000002</v>
      </c>
      <c r="W60" s="12">
        <v>0.84</v>
      </c>
      <c r="X60" s="12">
        <v>0.5</v>
      </c>
      <c r="Y60" s="9" t="s">
        <v>35</v>
      </c>
      <c r="Z60" s="13" t="s">
        <v>36</v>
      </c>
      <c r="AA60" s="134">
        <f t="shared" si="0"/>
        <v>0</v>
      </c>
      <c r="AB60" s="31" t="str">
        <f t="shared" si="1"/>
        <v>None</v>
      </c>
    </row>
    <row r="61" spans="1:28" x14ac:dyDescent="0.2">
      <c r="A61" s="14" t="s">
        <v>245</v>
      </c>
      <c r="B61" s="101" t="s">
        <v>333</v>
      </c>
      <c r="C61" s="15" t="s">
        <v>246</v>
      </c>
      <c r="D61" s="15" t="s">
        <v>77</v>
      </c>
      <c r="E61" s="15" t="s">
        <v>198</v>
      </c>
      <c r="F61" s="15" t="s">
        <v>173</v>
      </c>
      <c r="G61" s="15" t="s">
        <v>213</v>
      </c>
      <c r="H61" s="15" t="s">
        <v>41</v>
      </c>
      <c r="I61" s="15" t="s">
        <v>32</v>
      </c>
      <c r="J61" s="16">
        <v>33.44</v>
      </c>
      <c r="K61" s="16">
        <v>29.43</v>
      </c>
      <c r="L61" s="16">
        <v>25.87</v>
      </c>
      <c r="M61" s="15">
        <v>105</v>
      </c>
      <c r="N61" s="17">
        <v>45299</v>
      </c>
      <c r="O61" s="17">
        <v>45404</v>
      </c>
      <c r="P61" s="15">
        <v>6</v>
      </c>
      <c r="Q61" s="15" t="s">
        <v>33</v>
      </c>
      <c r="R61" s="15">
        <v>0</v>
      </c>
      <c r="S61" s="15" t="s">
        <v>34</v>
      </c>
      <c r="T61" s="18">
        <v>9.1000000000000004E-3</v>
      </c>
      <c r="U61" s="16">
        <v>0.27</v>
      </c>
      <c r="V61" s="16">
        <v>23.25</v>
      </c>
      <c r="W61" s="18">
        <v>0.79</v>
      </c>
      <c r="X61" s="18">
        <v>0.75</v>
      </c>
      <c r="Y61" s="15" t="s">
        <v>43</v>
      </c>
      <c r="Z61" s="19" t="s">
        <v>36</v>
      </c>
      <c r="AA61" s="134">
        <f t="shared" si="0"/>
        <v>0</v>
      </c>
      <c r="AB61" s="31" t="str">
        <f t="shared" si="1"/>
        <v>None</v>
      </c>
    </row>
    <row r="62" spans="1:28" x14ac:dyDescent="0.2">
      <c r="A62" s="8" t="s">
        <v>247</v>
      </c>
      <c r="B62" s="100" t="s">
        <v>330</v>
      </c>
      <c r="C62" s="9" t="s">
        <v>248</v>
      </c>
      <c r="D62" s="9" t="s">
        <v>27</v>
      </c>
      <c r="E62" s="9" t="s">
        <v>28</v>
      </c>
      <c r="F62" s="9" t="s">
        <v>55</v>
      </c>
      <c r="G62" s="9" t="s">
        <v>188</v>
      </c>
      <c r="H62" s="9" t="s">
        <v>109</v>
      </c>
      <c r="I62" s="9" t="s">
        <v>32</v>
      </c>
      <c r="J62" s="10">
        <v>17.36</v>
      </c>
      <c r="K62" s="10">
        <v>14.17</v>
      </c>
      <c r="L62" s="10">
        <v>14.56</v>
      </c>
      <c r="M62" s="9">
        <v>84</v>
      </c>
      <c r="N62" s="11">
        <v>45334</v>
      </c>
      <c r="O62" s="11">
        <v>45418</v>
      </c>
      <c r="P62" s="9">
        <v>4</v>
      </c>
      <c r="Q62" s="9" t="s">
        <v>42</v>
      </c>
      <c r="R62" s="9">
        <v>0</v>
      </c>
      <c r="S62" s="9" t="s">
        <v>34</v>
      </c>
      <c r="T62" s="12">
        <v>1.18E-2</v>
      </c>
      <c r="U62" s="10">
        <v>0.17</v>
      </c>
      <c r="V62" s="10">
        <v>14.03</v>
      </c>
      <c r="W62" s="12">
        <v>0.99</v>
      </c>
      <c r="X62" s="12">
        <v>0.5</v>
      </c>
      <c r="Y62" s="9" t="s">
        <v>35</v>
      </c>
      <c r="Z62" s="13" t="s">
        <v>36</v>
      </c>
      <c r="AA62" s="134">
        <f t="shared" si="0"/>
        <v>0</v>
      </c>
      <c r="AB62" s="31" t="str">
        <f t="shared" si="1"/>
        <v>None</v>
      </c>
    </row>
    <row r="63" spans="1:28" x14ac:dyDescent="0.2">
      <c r="A63" s="14" t="s">
        <v>249</v>
      </c>
      <c r="B63" s="101" t="s">
        <v>333</v>
      </c>
      <c r="C63" s="15" t="s">
        <v>250</v>
      </c>
      <c r="D63" s="15" t="s">
        <v>77</v>
      </c>
      <c r="E63" s="15" t="s">
        <v>251</v>
      </c>
      <c r="F63" s="15" t="s">
        <v>55</v>
      </c>
      <c r="G63" s="15" t="s">
        <v>252</v>
      </c>
      <c r="H63" s="15" t="s">
        <v>65</v>
      </c>
      <c r="I63" s="15" t="s">
        <v>32</v>
      </c>
      <c r="J63" s="16">
        <v>28.57</v>
      </c>
      <c r="K63" s="16">
        <v>23.17</v>
      </c>
      <c r="L63" s="16">
        <v>22.03</v>
      </c>
      <c r="M63" s="15">
        <v>100</v>
      </c>
      <c r="N63" s="17">
        <v>45305</v>
      </c>
      <c r="O63" s="17">
        <v>45405</v>
      </c>
      <c r="P63" s="15">
        <v>3</v>
      </c>
      <c r="Q63" s="15" t="s">
        <v>58</v>
      </c>
      <c r="R63" s="15">
        <v>0</v>
      </c>
      <c r="S63" s="15" t="s">
        <v>34</v>
      </c>
      <c r="T63" s="18">
        <v>5.4000000000000003E-3</v>
      </c>
      <c r="U63" s="16">
        <v>0.13</v>
      </c>
      <c r="V63" s="16">
        <v>21.32</v>
      </c>
      <c r="W63" s="18">
        <v>0.92</v>
      </c>
      <c r="X63" s="18">
        <v>0.2</v>
      </c>
      <c r="Y63" s="15" t="s">
        <v>35</v>
      </c>
      <c r="Z63" s="19" t="s">
        <v>36</v>
      </c>
      <c r="AA63" s="134">
        <f t="shared" si="0"/>
        <v>0</v>
      </c>
      <c r="AB63" s="31" t="str">
        <f t="shared" si="1"/>
        <v>None</v>
      </c>
    </row>
    <row r="64" spans="1:28" x14ac:dyDescent="0.2">
      <c r="A64" s="8" t="s">
        <v>253</v>
      </c>
      <c r="B64" s="100" t="s">
        <v>332</v>
      </c>
      <c r="C64" s="9" t="s">
        <v>254</v>
      </c>
      <c r="D64" s="9" t="s">
        <v>53</v>
      </c>
      <c r="E64" s="9" t="s">
        <v>165</v>
      </c>
      <c r="F64" s="9" t="s">
        <v>63</v>
      </c>
      <c r="G64" s="9" t="s">
        <v>255</v>
      </c>
      <c r="H64" s="9" t="s">
        <v>41</v>
      </c>
      <c r="I64" s="9" t="s">
        <v>32</v>
      </c>
      <c r="J64" s="10">
        <v>25.01</v>
      </c>
      <c r="K64" s="10">
        <v>23.9</v>
      </c>
      <c r="L64" s="10">
        <v>25.77</v>
      </c>
      <c r="M64" s="9">
        <v>160</v>
      </c>
      <c r="N64" s="11">
        <v>45392</v>
      </c>
      <c r="O64" s="11">
        <v>45552</v>
      </c>
      <c r="P64" s="9">
        <v>7</v>
      </c>
      <c r="Q64" s="9" t="s">
        <v>92</v>
      </c>
      <c r="R64" s="9">
        <v>26</v>
      </c>
      <c r="S64" s="9" t="s">
        <v>142</v>
      </c>
      <c r="T64" s="12">
        <v>0.1087</v>
      </c>
      <c r="U64" s="10">
        <v>2.6</v>
      </c>
      <c r="V64" s="10">
        <v>22.23</v>
      </c>
      <c r="W64" s="12">
        <v>0.93</v>
      </c>
      <c r="X64" s="12">
        <v>0.75</v>
      </c>
      <c r="Y64" s="9" t="s">
        <v>70</v>
      </c>
      <c r="Z64" s="13" t="s">
        <v>144</v>
      </c>
      <c r="AA64" s="134">
        <f t="shared" si="0"/>
        <v>3</v>
      </c>
      <c r="AB64" s="31" t="str">
        <f t="shared" si="1"/>
        <v>DPD&gt;0, Stage 2, High Utilization</v>
      </c>
    </row>
    <row r="65" spans="1:28" x14ac:dyDescent="0.2">
      <c r="A65" s="14" t="s">
        <v>256</v>
      </c>
      <c r="B65" s="101" t="s">
        <v>333</v>
      </c>
      <c r="C65" s="15" t="s">
        <v>257</v>
      </c>
      <c r="D65" s="15" t="s">
        <v>77</v>
      </c>
      <c r="E65" s="15" t="s">
        <v>117</v>
      </c>
      <c r="F65" s="15" t="s">
        <v>84</v>
      </c>
      <c r="G65" s="15" t="s">
        <v>128</v>
      </c>
      <c r="H65" s="15" t="s">
        <v>31</v>
      </c>
      <c r="I65" s="15" t="s">
        <v>32</v>
      </c>
      <c r="J65" s="16">
        <v>38.6</v>
      </c>
      <c r="K65" s="16">
        <v>36.42</v>
      </c>
      <c r="L65" s="16">
        <v>37.979999999999997</v>
      </c>
      <c r="M65" s="15">
        <v>30</v>
      </c>
      <c r="N65" s="17">
        <v>45422</v>
      </c>
      <c r="O65" s="17">
        <v>45452</v>
      </c>
      <c r="P65" s="15">
        <v>9</v>
      </c>
      <c r="Q65" s="15" t="s">
        <v>258</v>
      </c>
      <c r="R65" s="15">
        <v>26</v>
      </c>
      <c r="S65" s="15" t="s">
        <v>142</v>
      </c>
      <c r="T65" s="18">
        <v>7.6700000000000004E-2</v>
      </c>
      <c r="U65" s="16">
        <v>2.79</v>
      </c>
      <c r="V65" s="16">
        <v>25.13</v>
      </c>
      <c r="W65" s="18">
        <v>0.69</v>
      </c>
      <c r="X65" s="18">
        <v>1</v>
      </c>
      <c r="Y65" s="15" t="s">
        <v>155</v>
      </c>
      <c r="Z65" s="19" t="s">
        <v>144</v>
      </c>
      <c r="AA65" s="134">
        <f t="shared" si="0"/>
        <v>4</v>
      </c>
      <c r="AB65" s="31" t="str">
        <f t="shared" si="1"/>
        <v>DPD&gt;0, Sub-IG Rating, Low Collateral, Stage 2</v>
      </c>
    </row>
    <row r="66" spans="1:28" x14ac:dyDescent="0.2">
      <c r="A66" s="8" t="s">
        <v>259</v>
      </c>
      <c r="B66" s="100" t="s">
        <v>330</v>
      </c>
      <c r="C66" s="9" t="s">
        <v>260</v>
      </c>
      <c r="D66" s="9" t="s">
        <v>39</v>
      </c>
      <c r="E66" s="9" t="s">
        <v>39</v>
      </c>
      <c r="F66" s="9" t="s">
        <v>72</v>
      </c>
      <c r="G66" s="9" t="s">
        <v>73</v>
      </c>
      <c r="H66" s="9" t="s">
        <v>185</v>
      </c>
      <c r="I66" s="9" t="s">
        <v>32</v>
      </c>
      <c r="J66" s="10">
        <v>14.8</v>
      </c>
      <c r="K66" s="10">
        <v>14.27</v>
      </c>
      <c r="L66" s="10">
        <v>15.56</v>
      </c>
      <c r="M66" s="9">
        <v>72</v>
      </c>
      <c r="N66" s="11">
        <v>45323</v>
      </c>
      <c r="O66" s="11">
        <v>45395</v>
      </c>
      <c r="P66" s="9">
        <v>7</v>
      </c>
      <c r="Q66" s="9" t="s">
        <v>92</v>
      </c>
      <c r="R66" s="9">
        <v>0</v>
      </c>
      <c r="S66" s="9" t="s">
        <v>34</v>
      </c>
      <c r="T66" s="12">
        <v>1.8200000000000001E-2</v>
      </c>
      <c r="U66" s="10">
        <v>0.26</v>
      </c>
      <c r="V66" s="10">
        <v>12.13</v>
      </c>
      <c r="W66" s="12">
        <v>0.85</v>
      </c>
      <c r="X66" s="12">
        <v>0.75</v>
      </c>
      <c r="Y66" s="9" t="s">
        <v>35</v>
      </c>
      <c r="Z66" s="13" t="s">
        <v>36</v>
      </c>
      <c r="AA66" s="134">
        <f t="shared" si="0"/>
        <v>1</v>
      </c>
      <c r="AB66" s="31" t="str">
        <f t="shared" si="1"/>
        <v>High Utilization</v>
      </c>
    </row>
    <row r="67" spans="1:28" x14ac:dyDescent="0.2">
      <c r="A67" s="14" t="s">
        <v>261</v>
      </c>
      <c r="B67" s="101" t="s">
        <v>330</v>
      </c>
      <c r="C67" s="15" t="s">
        <v>262</v>
      </c>
      <c r="D67" s="15" t="s">
        <v>27</v>
      </c>
      <c r="E67" s="15" t="s">
        <v>28</v>
      </c>
      <c r="F67" s="15" t="s">
        <v>29</v>
      </c>
      <c r="G67" s="15" t="s">
        <v>40</v>
      </c>
      <c r="H67" s="15" t="s">
        <v>41</v>
      </c>
      <c r="I67" s="15" t="s">
        <v>32</v>
      </c>
      <c r="J67" s="16">
        <v>38.700000000000003</v>
      </c>
      <c r="K67" s="16">
        <v>26.56</v>
      </c>
      <c r="L67" s="16">
        <v>28.95</v>
      </c>
      <c r="M67" s="15">
        <v>39</v>
      </c>
      <c r="N67" s="17">
        <v>45591</v>
      </c>
      <c r="O67" s="17">
        <v>45630</v>
      </c>
      <c r="P67" s="15">
        <v>4</v>
      </c>
      <c r="Q67" s="15" t="s">
        <v>42</v>
      </c>
      <c r="R67" s="15">
        <v>0</v>
      </c>
      <c r="S67" s="15" t="s">
        <v>34</v>
      </c>
      <c r="T67" s="18">
        <v>1.7399999999999999E-2</v>
      </c>
      <c r="U67" s="16">
        <v>0.46</v>
      </c>
      <c r="V67" s="16">
        <v>29.22</v>
      </c>
      <c r="W67" s="18">
        <v>1.1000000000000001</v>
      </c>
      <c r="X67" s="18">
        <v>0.5</v>
      </c>
      <c r="Y67" s="15" t="s">
        <v>217</v>
      </c>
      <c r="Z67" s="19" t="s">
        <v>36</v>
      </c>
      <c r="AA67" s="134">
        <f t="shared" ref="AA67:AA81" si="2">MIN(5,(IF(R67&gt;90,3,IF(R67&gt;30,2,IF(R67&gt;0,1,0))))+IF(P67*1&gt;=8,1,0)+IF(W67&lt;0.7,1,0)+IF(S67="Stage 3",2,IF(S67="Stage 2",1,0))+IF(K67/J67&gt;0.95,1,0))</f>
        <v>0</v>
      </c>
      <c r="AB67" s="31" t="str">
        <f t="shared" ref="AB67:AB81" si="3">IF(AA67=0,"None",_xlfn.TEXTJOIN(", ",TRUE,IF(R67&gt;90,"DPD&gt;90",IF(R67&gt;30,"DPD&gt;30",IF(R67&gt;0,"DPD&gt;0",""))),IF(P67*1&gt;=8,"Sub-IG Rating",""),IF(W67&lt;0.7,"Low Collateral",""),IF(S67="Stage 3","NPL",IF(S67="Stage 2","Stage 2","")),IF(K67/J67&gt;0.95,"High Utilization","")))</f>
        <v>None</v>
      </c>
    </row>
    <row r="68" spans="1:28" x14ac:dyDescent="0.2">
      <c r="A68" s="8" t="s">
        <v>263</v>
      </c>
      <c r="B68" s="100" t="s">
        <v>333</v>
      </c>
      <c r="C68" s="9" t="s">
        <v>264</v>
      </c>
      <c r="D68" s="9" t="s">
        <v>77</v>
      </c>
      <c r="E68" s="9" t="s">
        <v>251</v>
      </c>
      <c r="F68" s="9" t="s">
        <v>84</v>
      </c>
      <c r="G68" s="9" t="s">
        <v>128</v>
      </c>
      <c r="H68" s="9" t="s">
        <v>137</v>
      </c>
      <c r="I68" s="9" t="s">
        <v>32</v>
      </c>
      <c r="J68" s="10">
        <v>15.49</v>
      </c>
      <c r="K68" s="10">
        <v>15.28</v>
      </c>
      <c r="L68" s="10">
        <v>14.41</v>
      </c>
      <c r="M68" s="9">
        <v>168</v>
      </c>
      <c r="N68" s="11">
        <v>45634</v>
      </c>
      <c r="O68" s="11">
        <v>45802</v>
      </c>
      <c r="P68" s="9">
        <v>8</v>
      </c>
      <c r="Q68" s="9" t="s">
        <v>141</v>
      </c>
      <c r="R68" s="9">
        <v>0</v>
      </c>
      <c r="S68" s="9" t="s">
        <v>142</v>
      </c>
      <c r="T68" s="12">
        <v>0.11219999999999999</v>
      </c>
      <c r="U68" s="10">
        <v>1.71</v>
      </c>
      <c r="V68" s="10">
        <v>8.57</v>
      </c>
      <c r="W68" s="12">
        <v>0.56000000000000005</v>
      </c>
      <c r="X68" s="12">
        <v>1</v>
      </c>
      <c r="Y68" s="9" t="s">
        <v>59</v>
      </c>
      <c r="Z68" s="13" t="s">
        <v>144</v>
      </c>
      <c r="AA68" s="134">
        <f t="shared" si="2"/>
        <v>4</v>
      </c>
      <c r="AB68" s="31" t="str">
        <f t="shared" si="3"/>
        <v>Sub-IG Rating, Low Collateral, Stage 2, High Utilization</v>
      </c>
    </row>
    <row r="69" spans="1:28" x14ac:dyDescent="0.2">
      <c r="A69" s="14" t="s">
        <v>265</v>
      </c>
      <c r="B69" s="101" t="s">
        <v>333</v>
      </c>
      <c r="C69" s="15" t="s">
        <v>160</v>
      </c>
      <c r="D69" s="15" t="s">
        <v>62</v>
      </c>
      <c r="E69" s="15" t="s">
        <v>62</v>
      </c>
      <c r="F69" s="15" t="s">
        <v>173</v>
      </c>
      <c r="G69" s="15" t="s">
        <v>266</v>
      </c>
      <c r="H69" s="15" t="s">
        <v>41</v>
      </c>
      <c r="I69" s="15" t="s">
        <v>32</v>
      </c>
      <c r="J69" s="16">
        <v>43.82</v>
      </c>
      <c r="K69" s="16">
        <v>35.39</v>
      </c>
      <c r="L69" s="16">
        <v>36.82</v>
      </c>
      <c r="M69" s="15">
        <v>177</v>
      </c>
      <c r="N69" s="17">
        <v>45527</v>
      </c>
      <c r="O69" s="17">
        <v>45704</v>
      </c>
      <c r="P69" s="15">
        <v>5</v>
      </c>
      <c r="Q69" s="15" t="s">
        <v>49</v>
      </c>
      <c r="R69" s="15">
        <v>0</v>
      </c>
      <c r="S69" s="15" t="s">
        <v>34</v>
      </c>
      <c r="T69" s="18">
        <v>1.2699999999999999E-2</v>
      </c>
      <c r="U69" s="16">
        <v>0.45</v>
      </c>
      <c r="V69" s="16">
        <v>32.21</v>
      </c>
      <c r="W69" s="18">
        <v>0.91</v>
      </c>
      <c r="X69" s="18">
        <v>0.5</v>
      </c>
      <c r="Y69" s="15" t="s">
        <v>98</v>
      </c>
      <c r="Z69" s="19" t="s">
        <v>36</v>
      </c>
      <c r="AA69" s="134">
        <f t="shared" si="2"/>
        <v>0</v>
      </c>
      <c r="AB69" s="31" t="str">
        <f t="shared" si="3"/>
        <v>None</v>
      </c>
    </row>
    <row r="70" spans="1:28" x14ac:dyDescent="0.2">
      <c r="A70" s="8" t="s">
        <v>267</v>
      </c>
      <c r="B70" s="100" t="s">
        <v>330</v>
      </c>
      <c r="C70" s="9" t="s">
        <v>268</v>
      </c>
      <c r="D70" s="9" t="s">
        <v>27</v>
      </c>
      <c r="E70" s="9" t="s">
        <v>237</v>
      </c>
      <c r="F70" s="9" t="s">
        <v>47</v>
      </c>
      <c r="G70" s="9" t="s">
        <v>133</v>
      </c>
      <c r="H70" s="9" t="s">
        <v>74</v>
      </c>
      <c r="I70" s="9" t="s">
        <v>32</v>
      </c>
      <c r="J70" s="10">
        <v>12.39</v>
      </c>
      <c r="K70" s="10">
        <v>9.4700000000000006</v>
      </c>
      <c r="L70" s="10">
        <v>10.76</v>
      </c>
      <c r="M70" s="9">
        <v>73</v>
      </c>
      <c r="N70" s="11">
        <v>45341</v>
      </c>
      <c r="O70" s="11">
        <v>45414</v>
      </c>
      <c r="P70" s="9">
        <v>4</v>
      </c>
      <c r="Q70" s="9" t="s">
        <v>42</v>
      </c>
      <c r="R70" s="9">
        <v>0</v>
      </c>
      <c r="S70" s="9" t="s">
        <v>34</v>
      </c>
      <c r="T70" s="12">
        <v>1.49E-2</v>
      </c>
      <c r="U70" s="10">
        <v>0.14000000000000001</v>
      </c>
      <c r="V70" s="10">
        <v>6.63</v>
      </c>
      <c r="W70" s="12">
        <v>0.7</v>
      </c>
      <c r="X70" s="12">
        <v>0.5</v>
      </c>
      <c r="Y70" s="9" t="s">
        <v>35</v>
      </c>
      <c r="Z70" s="13" t="s">
        <v>36</v>
      </c>
      <c r="AA70" s="134">
        <f t="shared" si="2"/>
        <v>0</v>
      </c>
      <c r="AB70" s="31" t="str">
        <f t="shared" si="3"/>
        <v>None</v>
      </c>
    </row>
    <row r="71" spans="1:28" x14ac:dyDescent="0.2">
      <c r="A71" s="14" t="s">
        <v>269</v>
      </c>
      <c r="B71" s="101" t="s">
        <v>331</v>
      </c>
      <c r="C71" s="15" t="s">
        <v>270</v>
      </c>
      <c r="D71" s="15" t="s">
        <v>46</v>
      </c>
      <c r="E71" s="15" t="s">
        <v>46</v>
      </c>
      <c r="F71" s="15" t="s">
        <v>166</v>
      </c>
      <c r="G71" s="15" t="s">
        <v>271</v>
      </c>
      <c r="H71" s="15" t="s">
        <v>86</v>
      </c>
      <c r="I71" s="15" t="s">
        <v>32</v>
      </c>
      <c r="J71" s="16">
        <v>5.93</v>
      </c>
      <c r="K71" s="16">
        <v>4.74</v>
      </c>
      <c r="L71" s="16">
        <v>4.72</v>
      </c>
      <c r="M71" s="15">
        <v>191</v>
      </c>
      <c r="N71" s="17">
        <v>45579</v>
      </c>
      <c r="O71" s="17">
        <v>45770</v>
      </c>
      <c r="P71" s="15">
        <v>5</v>
      </c>
      <c r="Q71" s="15" t="s">
        <v>49</v>
      </c>
      <c r="R71" s="15">
        <v>0</v>
      </c>
      <c r="S71" s="15" t="s">
        <v>34</v>
      </c>
      <c r="T71" s="18">
        <v>1.47E-2</v>
      </c>
      <c r="U71" s="16">
        <v>7.0000000000000007E-2</v>
      </c>
      <c r="V71" s="16">
        <v>4.32</v>
      </c>
      <c r="W71" s="18">
        <v>0.91</v>
      </c>
      <c r="X71" s="18">
        <v>0.5</v>
      </c>
      <c r="Y71" s="15" t="s">
        <v>181</v>
      </c>
      <c r="Z71" s="19" t="s">
        <v>36</v>
      </c>
      <c r="AA71" s="134">
        <f t="shared" si="2"/>
        <v>0</v>
      </c>
      <c r="AB71" s="31" t="str">
        <f t="shared" si="3"/>
        <v>None</v>
      </c>
    </row>
    <row r="72" spans="1:28" x14ac:dyDescent="0.2">
      <c r="A72" s="8" t="s">
        <v>272</v>
      </c>
      <c r="B72" s="100" t="s">
        <v>330</v>
      </c>
      <c r="C72" s="9" t="s">
        <v>103</v>
      </c>
      <c r="D72" s="9" t="s">
        <v>39</v>
      </c>
      <c r="E72" s="9" t="s">
        <v>39</v>
      </c>
      <c r="F72" s="9" t="s">
        <v>55</v>
      </c>
      <c r="G72" s="9" t="s">
        <v>120</v>
      </c>
      <c r="H72" s="9" t="s">
        <v>234</v>
      </c>
      <c r="I72" s="9" t="s">
        <v>32</v>
      </c>
      <c r="J72" s="10">
        <v>4.33</v>
      </c>
      <c r="K72" s="10">
        <v>2.97</v>
      </c>
      <c r="L72" s="10">
        <v>2.81</v>
      </c>
      <c r="M72" s="9">
        <v>317</v>
      </c>
      <c r="N72" s="11">
        <v>45365</v>
      </c>
      <c r="O72" s="11">
        <v>45682</v>
      </c>
      <c r="P72" s="9">
        <v>5</v>
      </c>
      <c r="Q72" s="9" t="s">
        <v>49</v>
      </c>
      <c r="R72" s="9">
        <v>0</v>
      </c>
      <c r="S72" s="9" t="s">
        <v>34</v>
      </c>
      <c r="T72" s="12">
        <v>7.9000000000000008E-3</v>
      </c>
      <c r="U72" s="10">
        <v>0.02</v>
      </c>
      <c r="V72" s="10">
        <v>2.4300000000000002</v>
      </c>
      <c r="W72" s="12">
        <v>0.82</v>
      </c>
      <c r="X72" s="12">
        <v>0.5</v>
      </c>
      <c r="Y72" s="9" t="s">
        <v>35</v>
      </c>
      <c r="Z72" s="13" t="s">
        <v>36</v>
      </c>
      <c r="AA72" s="134">
        <f t="shared" si="2"/>
        <v>0</v>
      </c>
      <c r="AB72" s="31" t="str">
        <f t="shared" si="3"/>
        <v>None</v>
      </c>
    </row>
    <row r="73" spans="1:28" x14ac:dyDescent="0.2">
      <c r="A73" s="14" t="s">
        <v>273</v>
      </c>
      <c r="B73" s="101" t="s">
        <v>330</v>
      </c>
      <c r="C73" s="15" t="s">
        <v>97</v>
      </c>
      <c r="D73" s="15" t="s">
        <v>62</v>
      </c>
      <c r="E73" s="15" t="s">
        <v>62</v>
      </c>
      <c r="F73" s="15" t="s">
        <v>29</v>
      </c>
      <c r="G73" s="15" t="s">
        <v>30</v>
      </c>
      <c r="H73" s="15" t="s">
        <v>74</v>
      </c>
      <c r="I73" s="15" t="s">
        <v>32</v>
      </c>
      <c r="J73" s="16">
        <v>16.98</v>
      </c>
      <c r="K73" s="16">
        <v>14.18</v>
      </c>
      <c r="L73" s="16">
        <v>15.24</v>
      </c>
      <c r="M73" s="15">
        <v>41</v>
      </c>
      <c r="N73" s="17">
        <v>45414</v>
      </c>
      <c r="O73" s="17">
        <v>45455</v>
      </c>
      <c r="P73" s="15">
        <v>1</v>
      </c>
      <c r="Q73" s="15" t="s">
        <v>238</v>
      </c>
      <c r="R73" s="15">
        <v>0</v>
      </c>
      <c r="S73" s="15" t="s">
        <v>34</v>
      </c>
      <c r="T73" s="18">
        <v>1.8599999999999998E-2</v>
      </c>
      <c r="U73" s="16">
        <v>0.26</v>
      </c>
      <c r="V73" s="16">
        <v>14.89</v>
      </c>
      <c r="W73" s="18">
        <v>1.05</v>
      </c>
      <c r="X73" s="18">
        <v>0.2</v>
      </c>
      <c r="Y73" s="15" t="s">
        <v>35</v>
      </c>
      <c r="Z73" s="19" t="s">
        <v>36</v>
      </c>
      <c r="AA73" s="134">
        <f t="shared" si="2"/>
        <v>0</v>
      </c>
      <c r="AB73" s="31" t="str">
        <f t="shared" si="3"/>
        <v>None</v>
      </c>
    </row>
    <row r="74" spans="1:28" x14ac:dyDescent="0.2">
      <c r="A74" s="8" t="s">
        <v>274</v>
      </c>
      <c r="B74" s="100" t="s">
        <v>332</v>
      </c>
      <c r="C74" s="9" t="s">
        <v>275</v>
      </c>
      <c r="D74" s="9" t="s">
        <v>53</v>
      </c>
      <c r="E74" s="9" t="s">
        <v>112</v>
      </c>
      <c r="F74" s="9" t="s">
        <v>84</v>
      </c>
      <c r="G74" s="9" t="s">
        <v>128</v>
      </c>
      <c r="H74" s="9" t="s">
        <v>41</v>
      </c>
      <c r="I74" s="9" t="s">
        <v>32</v>
      </c>
      <c r="J74" s="10">
        <v>17.66</v>
      </c>
      <c r="K74" s="10">
        <v>14.22</v>
      </c>
      <c r="L74" s="10">
        <v>14.21</v>
      </c>
      <c r="M74" s="9">
        <v>42</v>
      </c>
      <c r="N74" s="11">
        <v>45292</v>
      </c>
      <c r="O74" s="11">
        <v>45334</v>
      </c>
      <c r="P74" s="9">
        <v>2</v>
      </c>
      <c r="Q74" s="9" t="s">
        <v>125</v>
      </c>
      <c r="R74" s="9">
        <v>0</v>
      </c>
      <c r="S74" s="9" t="s">
        <v>34</v>
      </c>
      <c r="T74" s="12">
        <v>1.4999999999999999E-2</v>
      </c>
      <c r="U74" s="10">
        <v>0.21</v>
      </c>
      <c r="V74" s="10">
        <v>14.51</v>
      </c>
      <c r="W74" s="12">
        <v>1.02</v>
      </c>
      <c r="X74" s="12">
        <v>0.2</v>
      </c>
      <c r="Y74" s="9" t="s">
        <v>121</v>
      </c>
      <c r="Z74" s="13" t="s">
        <v>36</v>
      </c>
      <c r="AA74" s="134">
        <f t="shared" si="2"/>
        <v>0</v>
      </c>
      <c r="AB74" s="31" t="str">
        <f t="shared" si="3"/>
        <v>None</v>
      </c>
    </row>
    <row r="75" spans="1:28" x14ac:dyDescent="0.2">
      <c r="A75" s="14" t="s">
        <v>276</v>
      </c>
      <c r="B75" s="101" t="s">
        <v>332</v>
      </c>
      <c r="C75" s="15" t="s">
        <v>277</v>
      </c>
      <c r="D75" s="15" t="s">
        <v>53</v>
      </c>
      <c r="E75" s="15" t="s">
        <v>177</v>
      </c>
      <c r="F75" s="15" t="s">
        <v>29</v>
      </c>
      <c r="G75" s="15" t="s">
        <v>124</v>
      </c>
      <c r="H75" s="15" t="s">
        <v>31</v>
      </c>
      <c r="I75" s="15" t="s">
        <v>32</v>
      </c>
      <c r="J75" s="16">
        <v>6.79</v>
      </c>
      <c r="K75" s="16">
        <v>4.96</v>
      </c>
      <c r="L75" s="16">
        <v>5.33</v>
      </c>
      <c r="M75" s="15">
        <v>136</v>
      </c>
      <c r="N75" s="17">
        <v>45501</v>
      </c>
      <c r="O75" s="17">
        <v>45637</v>
      </c>
      <c r="P75" s="15">
        <v>5</v>
      </c>
      <c r="Q75" s="15" t="s">
        <v>49</v>
      </c>
      <c r="R75" s="15">
        <v>0</v>
      </c>
      <c r="S75" s="15" t="s">
        <v>34</v>
      </c>
      <c r="T75" s="18">
        <v>1.5800000000000002E-2</v>
      </c>
      <c r="U75" s="16">
        <v>0.08</v>
      </c>
      <c r="V75" s="16">
        <v>4.96</v>
      </c>
      <c r="W75" s="18">
        <v>1</v>
      </c>
      <c r="X75" s="18">
        <v>0.5</v>
      </c>
      <c r="Y75" s="15" t="s">
        <v>35</v>
      </c>
      <c r="Z75" s="19" t="s">
        <v>36</v>
      </c>
      <c r="AA75" s="134">
        <f t="shared" si="2"/>
        <v>0</v>
      </c>
      <c r="AB75" s="31" t="str">
        <f t="shared" si="3"/>
        <v>None</v>
      </c>
    </row>
    <row r="76" spans="1:28" x14ac:dyDescent="0.2">
      <c r="A76" s="8" t="s">
        <v>278</v>
      </c>
      <c r="B76" s="100" t="s">
        <v>330</v>
      </c>
      <c r="C76" s="9" t="s">
        <v>119</v>
      </c>
      <c r="D76" s="9" t="s">
        <v>62</v>
      </c>
      <c r="E76" s="9" t="s">
        <v>62</v>
      </c>
      <c r="F76" s="9" t="s">
        <v>279</v>
      </c>
      <c r="G76" s="9" t="s">
        <v>280</v>
      </c>
      <c r="H76" s="9" t="s">
        <v>194</v>
      </c>
      <c r="I76" s="9" t="s">
        <v>32</v>
      </c>
      <c r="J76" s="10">
        <v>10.37</v>
      </c>
      <c r="K76" s="10">
        <v>6.97</v>
      </c>
      <c r="L76" s="10">
        <v>6.58</v>
      </c>
      <c r="M76" s="9">
        <v>62</v>
      </c>
      <c r="N76" s="11">
        <v>45561</v>
      </c>
      <c r="O76" s="11">
        <v>45623</v>
      </c>
      <c r="P76" s="9">
        <v>4</v>
      </c>
      <c r="Q76" s="9" t="s">
        <v>42</v>
      </c>
      <c r="R76" s="9">
        <v>0</v>
      </c>
      <c r="S76" s="9" t="s">
        <v>34</v>
      </c>
      <c r="T76" s="12">
        <v>1.2E-2</v>
      </c>
      <c r="U76" s="10">
        <v>0.08</v>
      </c>
      <c r="V76" s="10">
        <v>3.49</v>
      </c>
      <c r="W76" s="12">
        <v>0.5</v>
      </c>
      <c r="X76" s="12">
        <v>0.5</v>
      </c>
      <c r="Y76" s="9" t="s">
        <v>101</v>
      </c>
      <c r="Z76" s="13" t="s">
        <v>36</v>
      </c>
      <c r="AA76" s="134">
        <f t="shared" si="2"/>
        <v>1</v>
      </c>
      <c r="AB76" s="31" t="str">
        <f t="shared" si="3"/>
        <v>Low Collateral</v>
      </c>
    </row>
    <row r="77" spans="1:28" x14ac:dyDescent="0.2">
      <c r="A77" s="14" t="s">
        <v>281</v>
      </c>
      <c r="B77" s="101" t="s">
        <v>333</v>
      </c>
      <c r="C77" s="15" t="s">
        <v>282</v>
      </c>
      <c r="D77" s="15" t="s">
        <v>77</v>
      </c>
      <c r="E77" s="15" t="s">
        <v>198</v>
      </c>
      <c r="F77" s="15" t="s">
        <v>29</v>
      </c>
      <c r="G77" s="15" t="s">
        <v>79</v>
      </c>
      <c r="H77" s="15" t="s">
        <v>65</v>
      </c>
      <c r="I77" s="15" t="s">
        <v>32</v>
      </c>
      <c r="J77" s="16">
        <v>39.82</v>
      </c>
      <c r="K77" s="16">
        <v>28.59</v>
      </c>
      <c r="L77" s="16">
        <v>31.8</v>
      </c>
      <c r="M77" s="15">
        <v>85</v>
      </c>
      <c r="N77" s="17">
        <v>45433</v>
      </c>
      <c r="O77" s="17">
        <v>45518</v>
      </c>
      <c r="P77" s="15">
        <v>9</v>
      </c>
      <c r="Q77" s="15" t="s">
        <v>258</v>
      </c>
      <c r="R77" s="15">
        <v>42</v>
      </c>
      <c r="S77" s="15" t="s">
        <v>142</v>
      </c>
      <c r="T77" s="18">
        <v>8.1100000000000005E-2</v>
      </c>
      <c r="U77" s="16">
        <v>2.3199999999999998</v>
      </c>
      <c r="V77" s="16">
        <v>20.3</v>
      </c>
      <c r="W77" s="18">
        <v>0.71</v>
      </c>
      <c r="X77" s="18">
        <v>1</v>
      </c>
      <c r="Y77" s="15" t="s">
        <v>43</v>
      </c>
      <c r="Z77" s="19" t="s">
        <v>144</v>
      </c>
      <c r="AA77" s="134">
        <f t="shared" si="2"/>
        <v>4</v>
      </c>
      <c r="AB77" s="31" t="str">
        <f t="shared" si="3"/>
        <v>DPD&gt;30, Sub-IG Rating, Stage 2</v>
      </c>
    </row>
    <row r="78" spans="1:28" x14ac:dyDescent="0.2">
      <c r="A78" s="8" t="s">
        <v>283</v>
      </c>
      <c r="B78" s="100" t="s">
        <v>330</v>
      </c>
      <c r="C78" s="9" t="s">
        <v>284</v>
      </c>
      <c r="D78" s="9" t="s">
        <v>27</v>
      </c>
      <c r="E78" s="9" t="s">
        <v>158</v>
      </c>
      <c r="F78" s="9" t="s">
        <v>68</v>
      </c>
      <c r="G78" s="9" t="s">
        <v>69</v>
      </c>
      <c r="H78" s="9" t="s">
        <v>41</v>
      </c>
      <c r="I78" s="9" t="s">
        <v>32</v>
      </c>
      <c r="J78" s="10">
        <v>48.13</v>
      </c>
      <c r="K78" s="10">
        <v>43.42</v>
      </c>
      <c r="L78" s="10">
        <v>45.13</v>
      </c>
      <c r="M78" s="9">
        <v>129</v>
      </c>
      <c r="N78" s="11">
        <v>45528</v>
      </c>
      <c r="O78" s="11">
        <v>45657</v>
      </c>
      <c r="P78" s="9">
        <v>5</v>
      </c>
      <c r="Q78" s="9" t="s">
        <v>49</v>
      </c>
      <c r="R78" s="9">
        <v>0</v>
      </c>
      <c r="S78" s="9" t="s">
        <v>34</v>
      </c>
      <c r="T78" s="12">
        <v>1.8200000000000001E-2</v>
      </c>
      <c r="U78" s="10">
        <v>0.79</v>
      </c>
      <c r="V78" s="10">
        <v>46.39</v>
      </c>
      <c r="W78" s="12">
        <v>1.07</v>
      </c>
      <c r="X78" s="12">
        <v>0.5</v>
      </c>
      <c r="Y78" s="9" t="s">
        <v>239</v>
      </c>
      <c r="Z78" s="13" t="s">
        <v>36</v>
      </c>
      <c r="AA78" s="134">
        <f t="shared" si="2"/>
        <v>0</v>
      </c>
      <c r="AB78" s="31" t="str">
        <f t="shared" si="3"/>
        <v>None</v>
      </c>
    </row>
    <row r="79" spans="1:28" x14ac:dyDescent="0.2">
      <c r="A79" s="14" t="s">
        <v>285</v>
      </c>
      <c r="B79" s="101" t="s">
        <v>330</v>
      </c>
      <c r="C79" s="15" t="s">
        <v>135</v>
      </c>
      <c r="D79" s="15" t="s">
        <v>39</v>
      </c>
      <c r="E79" s="15" t="s">
        <v>39</v>
      </c>
      <c r="F79" s="15" t="s">
        <v>173</v>
      </c>
      <c r="G79" s="15" t="s">
        <v>174</v>
      </c>
      <c r="H79" s="15" t="s">
        <v>234</v>
      </c>
      <c r="I79" s="15" t="s">
        <v>32</v>
      </c>
      <c r="J79" s="16">
        <v>6.56</v>
      </c>
      <c r="K79" s="16">
        <v>5.62</v>
      </c>
      <c r="L79" s="16">
        <v>5.26</v>
      </c>
      <c r="M79" s="15">
        <v>133</v>
      </c>
      <c r="N79" s="17">
        <v>45634</v>
      </c>
      <c r="O79" s="17">
        <v>45767</v>
      </c>
      <c r="P79" s="15">
        <v>7</v>
      </c>
      <c r="Q79" s="15" t="s">
        <v>92</v>
      </c>
      <c r="R79" s="15">
        <v>0</v>
      </c>
      <c r="S79" s="15" t="s">
        <v>34</v>
      </c>
      <c r="T79" s="18">
        <v>8.2000000000000007E-3</v>
      </c>
      <c r="U79" s="16">
        <v>0.05</v>
      </c>
      <c r="V79" s="16">
        <v>3.37</v>
      </c>
      <c r="W79" s="18">
        <v>0.6</v>
      </c>
      <c r="X79" s="18">
        <v>0.75</v>
      </c>
      <c r="Y79" s="15" t="s">
        <v>35</v>
      </c>
      <c r="Z79" s="19" t="s">
        <v>36</v>
      </c>
      <c r="AA79" s="134">
        <f t="shared" si="2"/>
        <v>1</v>
      </c>
      <c r="AB79" s="31" t="str">
        <f t="shared" si="3"/>
        <v>Low Collateral</v>
      </c>
    </row>
    <row r="80" spans="1:28" x14ac:dyDescent="0.2">
      <c r="A80" s="8" t="s">
        <v>286</v>
      </c>
      <c r="B80" s="100" t="s">
        <v>331</v>
      </c>
      <c r="C80" s="9" t="s">
        <v>287</v>
      </c>
      <c r="D80" s="9" t="s">
        <v>46</v>
      </c>
      <c r="E80" s="9" t="s">
        <v>46</v>
      </c>
      <c r="F80" s="9" t="s">
        <v>29</v>
      </c>
      <c r="G80" s="9" t="s">
        <v>30</v>
      </c>
      <c r="H80" s="9" t="s">
        <v>109</v>
      </c>
      <c r="I80" s="9" t="s">
        <v>32</v>
      </c>
      <c r="J80" s="10">
        <v>3.81</v>
      </c>
      <c r="K80" s="10">
        <v>3.59</v>
      </c>
      <c r="L80" s="10">
        <v>3.16</v>
      </c>
      <c r="M80" s="9">
        <v>60</v>
      </c>
      <c r="N80" s="11">
        <v>45620</v>
      </c>
      <c r="O80" s="11">
        <v>45680</v>
      </c>
      <c r="P80" s="9">
        <v>10</v>
      </c>
      <c r="Q80" s="9" t="s">
        <v>288</v>
      </c>
      <c r="R80" s="9">
        <v>92</v>
      </c>
      <c r="S80" s="9" t="s">
        <v>289</v>
      </c>
      <c r="T80" s="12">
        <v>0.39360000000000001</v>
      </c>
      <c r="U80" s="10">
        <v>1.41</v>
      </c>
      <c r="V80" s="10">
        <v>3.12</v>
      </c>
      <c r="W80" s="12">
        <v>0.87</v>
      </c>
      <c r="X80" s="12">
        <v>1</v>
      </c>
      <c r="Y80" s="9" t="s">
        <v>35</v>
      </c>
      <c r="Z80" s="13" t="s">
        <v>144</v>
      </c>
      <c r="AA80" s="134">
        <f t="shared" si="2"/>
        <v>5</v>
      </c>
      <c r="AB80" s="31" t="str">
        <f t="shared" si="3"/>
        <v>DPD&gt;90, Sub-IG Rating, NPL</v>
      </c>
    </row>
    <row r="81" spans="1:28" ht="17" thickBot="1" x14ac:dyDescent="0.25">
      <c r="A81" s="20" t="s">
        <v>290</v>
      </c>
      <c r="B81" s="102" t="s">
        <v>333</v>
      </c>
      <c r="C81" s="21" t="s">
        <v>291</v>
      </c>
      <c r="D81" s="21" t="s">
        <v>77</v>
      </c>
      <c r="E81" s="21" t="s">
        <v>78</v>
      </c>
      <c r="F81" s="21" t="s">
        <v>55</v>
      </c>
      <c r="G81" s="21" t="s">
        <v>252</v>
      </c>
      <c r="H81" s="21" t="s">
        <v>41</v>
      </c>
      <c r="I81" s="21" t="s">
        <v>32</v>
      </c>
      <c r="J81" s="22">
        <v>44.22</v>
      </c>
      <c r="K81" s="22">
        <v>38.35</v>
      </c>
      <c r="L81" s="22">
        <v>37.28</v>
      </c>
      <c r="M81" s="21">
        <v>174</v>
      </c>
      <c r="N81" s="23">
        <v>45340</v>
      </c>
      <c r="O81" s="23">
        <v>45514</v>
      </c>
      <c r="P81" s="21">
        <v>8</v>
      </c>
      <c r="Q81" s="21" t="s">
        <v>141</v>
      </c>
      <c r="R81" s="21">
        <v>0</v>
      </c>
      <c r="S81" s="21" t="s">
        <v>142</v>
      </c>
      <c r="T81" s="24">
        <v>0.108</v>
      </c>
      <c r="U81" s="22">
        <v>4.1399999999999997</v>
      </c>
      <c r="V81" s="22">
        <v>25.69</v>
      </c>
      <c r="W81" s="24">
        <v>0.67</v>
      </c>
      <c r="X81" s="24">
        <v>1</v>
      </c>
      <c r="Y81" s="21" t="s">
        <v>292</v>
      </c>
      <c r="Z81" s="25" t="s">
        <v>144</v>
      </c>
      <c r="AA81" s="134">
        <f t="shared" si="2"/>
        <v>3</v>
      </c>
      <c r="AB81" s="31" t="str">
        <f t="shared" si="3"/>
        <v>Sub-IG Rating, Low Collateral, Stage 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Entity Performance</vt:lpstr>
      <vt:lpstr>Product Mix</vt:lpstr>
      <vt:lpstr>Asset Quality</vt:lpstr>
      <vt:lpstr>Concentrations</vt:lpstr>
      <vt:lpstr>Collections &amp; Efficiency</vt:lpstr>
      <vt:lpstr>Watchlist</vt:lpstr>
      <vt:lpstr>EWS Dashboard</vt:lpstr>
      <vt:lpstr>Macro &amp; External Risk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Dewashish Dey</dc:creator>
  <cp:lastModifiedBy>Dewashish Dey</cp:lastModifiedBy>
  <dcterms:created xsi:type="dcterms:W3CDTF">2026-03-05T08:57:18Z</dcterms:created>
  <dcterms:modified xsi:type="dcterms:W3CDTF">2026-03-06T06:35:04Z</dcterms:modified>
</cp:coreProperties>
</file>