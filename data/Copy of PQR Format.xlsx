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dewashishdey/Downloads/"/>
    </mc:Choice>
  </mc:AlternateContent>
  <xr:revisionPtr revIDLastSave="0" documentId="8_{A01D268E-53E6-694B-9839-4E5DA3E77F6C}" xr6:coauthVersionLast="47" xr6:coauthVersionMax="47" xr10:uidLastSave="{00000000-0000-0000-0000-000000000000}"/>
  <bookViews>
    <workbookView xWindow="0" yWindow="600" windowWidth="19440" windowHeight="11500" tabRatio="820" activeTab="2" xr2:uid="{00000000-000D-0000-FFFF-FFFF00000000}"/>
  </bookViews>
  <sheets>
    <sheet name="Over All Level" sheetId="1" r:id="rId1"/>
    <sheet name="Product wise" sheetId="2" r:id="rId2"/>
    <sheet name="PQR variable template" sheetId="11" r:id="rId3"/>
    <sheet name="Net Flow Rate" sheetId="3" r:id="rId4"/>
    <sheet name="Collection Metrics" sheetId="4" r:id="rId5"/>
    <sheet name="Roll Rate" sheetId="5" r:id="rId6"/>
    <sheet name="Non_Starter Analysis" sheetId="6" r:id="rId7"/>
    <sheet name="Business Support-Risk Analytics" sheetId="10" r:id="rId8"/>
    <sheet name="TDD Pre Disbursal" sheetId="7" r:id="rId9"/>
    <sheet name="TDD Post Disbursal" sheetId="8" r:id="rId10"/>
    <sheet name="Static Pool" sheetId="9" r:id="rId11"/>
  </sheets>
  <definedNames>
    <definedName name="_xlnm._FilterDatabase" localSheetId="6" hidden="1">'Non_Starter Analysis'!$AR$1:$AR$13</definedName>
    <definedName name="B" localSheetId="6">'Non_Starter Analysis'!$1:$1048576</definedName>
    <definedName name="_xlnm.Print_Area" localSheetId="6">'Non_Starter Analysis'!$A$1:$BI$37</definedName>
    <definedName name="Z_2F004A40_86A8_4E3E_ADE9_350CF6D05BB7_.wvu.Cols" localSheetId="6" hidden="1">'Non_Starter Analysis'!$F:$Q,'Non_Starter Analysis'!#REF!</definedName>
    <definedName name="Z_2F004A40_86A8_4E3E_ADE9_350CF6D05BB7_.wvu.PrintArea" localSheetId="6" hidden="1">'Non_Starter Analysis'!$B$4:$AR$4</definedName>
    <definedName name="Z_2F004A40_86A8_4E3E_ADE9_350CF6D05BB7_.wvu.Rows" localSheetId="6" hidden="1">'Non_Starter Analysis'!#REF!,'Non_Starter Analysis'!#REF!,'Non_Starter Analysis'!#REF!,'Non_Starter Analysis'!#REF!,'Non_Starter Analysis'!#REF!,'Non_Starter Analysis'!#REF!,'Non_Starter Analysis'!#REF!,'Non_Starter Analysis'!#REF!,'Non_Starter Analysis'!#REF!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1" l="1"/>
  <c r="L4" i="11"/>
  <c r="L5" i="11"/>
  <c r="L6" i="11"/>
  <c r="L7" i="11"/>
  <c r="K7" i="11"/>
  <c r="E3" i="11"/>
  <c r="E4" i="11"/>
  <c r="E5" i="11"/>
  <c r="E6" i="11"/>
  <c r="E7" i="11"/>
  <c r="D7" i="11"/>
  <c r="G30" i="5"/>
  <c r="H30" i="5" s="1"/>
  <c r="I30" i="5" s="1"/>
  <c r="J30" i="5" s="1"/>
  <c r="K30" i="5" s="1"/>
  <c r="L30" i="5" s="1"/>
  <c r="M30" i="5" s="1"/>
  <c r="F30" i="5"/>
  <c r="E30" i="5"/>
  <c r="D30" i="5"/>
  <c r="C30" i="5"/>
  <c r="B30" i="5"/>
  <c r="H29" i="5"/>
  <c r="I29" i="5" s="1"/>
  <c r="J29" i="5" s="1"/>
  <c r="K29" i="5" s="1"/>
  <c r="L29" i="5" s="1"/>
  <c r="M29" i="5" s="1"/>
  <c r="H28" i="5"/>
  <c r="I28" i="5" s="1"/>
  <c r="J28" i="5" s="1"/>
  <c r="K28" i="5" s="1"/>
  <c r="L28" i="5" s="1"/>
  <c r="M28" i="5" s="1"/>
  <c r="H27" i="5"/>
  <c r="I27" i="5" s="1"/>
  <c r="J27" i="5" s="1"/>
  <c r="K27" i="5" s="1"/>
  <c r="L27" i="5" s="1"/>
  <c r="M27" i="5" s="1"/>
  <c r="G25" i="5"/>
  <c r="H25" i="5" s="1"/>
  <c r="I25" i="5" s="1"/>
  <c r="J25" i="5" s="1"/>
  <c r="K25" i="5" s="1"/>
  <c r="L25" i="5" s="1"/>
  <c r="M25" i="5" s="1"/>
  <c r="F25" i="5"/>
  <c r="E25" i="5"/>
  <c r="D25" i="5"/>
  <c r="C25" i="5"/>
  <c r="B25" i="5"/>
  <c r="H24" i="5"/>
  <c r="I24" i="5" s="1"/>
  <c r="J24" i="5" s="1"/>
  <c r="K24" i="5" s="1"/>
  <c r="L24" i="5" s="1"/>
  <c r="M24" i="5" s="1"/>
  <c r="H23" i="5"/>
  <c r="I23" i="5" s="1"/>
  <c r="J23" i="5" s="1"/>
  <c r="K23" i="5" s="1"/>
  <c r="L23" i="5" s="1"/>
  <c r="M23" i="5" s="1"/>
  <c r="H22" i="5"/>
  <c r="I22" i="5" s="1"/>
  <c r="J22" i="5" s="1"/>
  <c r="K22" i="5" s="1"/>
  <c r="L22" i="5" s="1"/>
  <c r="M22" i="5" s="1"/>
  <c r="G20" i="5"/>
  <c r="H20" i="5" s="1"/>
  <c r="I20" i="5" s="1"/>
  <c r="J20" i="5" s="1"/>
  <c r="K20" i="5" s="1"/>
  <c r="L20" i="5" s="1"/>
  <c r="M20" i="5" s="1"/>
  <c r="F20" i="5"/>
  <c r="E20" i="5"/>
  <c r="D20" i="5"/>
  <c r="C20" i="5"/>
  <c r="B20" i="5"/>
  <c r="H19" i="5"/>
  <c r="I19" i="5" s="1"/>
  <c r="J19" i="5" s="1"/>
  <c r="K19" i="5" s="1"/>
  <c r="L19" i="5" s="1"/>
  <c r="M19" i="5" s="1"/>
  <c r="H18" i="5"/>
  <c r="I18" i="5" s="1"/>
  <c r="J18" i="5" s="1"/>
  <c r="K18" i="5" s="1"/>
  <c r="L18" i="5" s="1"/>
  <c r="M18" i="5" s="1"/>
  <c r="H17" i="5"/>
  <c r="I17" i="5" s="1"/>
  <c r="J17" i="5" s="1"/>
  <c r="K17" i="5" s="1"/>
  <c r="L17" i="5" s="1"/>
  <c r="M17" i="5" s="1"/>
  <c r="G15" i="5"/>
  <c r="H15" i="5" s="1"/>
  <c r="I15" i="5" s="1"/>
  <c r="J15" i="5" s="1"/>
  <c r="K15" i="5" s="1"/>
  <c r="L15" i="5" s="1"/>
  <c r="M15" i="5" s="1"/>
  <c r="F15" i="5"/>
  <c r="E15" i="5"/>
  <c r="D15" i="5"/>
  <c r="C15" i="5"/>
  <c r="B15" i="5"/>
  <c r="H13" i="5"/>
  <c r="I13" i="5" s="1"/>
  <c r="J13" i="5" s="1"/>
  <c r="K13" i="5" s="1"/>
  <c r="L13" i="5" s="1"/>
  <c r="M13" i="5" s="1"/>
  <c r="H14" i="5"/>
  <c r="I14" i="5" s="1"/>
  <c r="J14" i="5" s="1"/>
  <c r="K14" i="5" s="1"/>
  <c r="L14" i="5" s="1"/>
  <c r="M14" i="5" s="1"/>
  <c r="H12" i="5"/>
  <c r="I12" i="5" s="1"/>
  <c r="J12" i="5" s="1"/>
  <c r="K12" i="5" s="1"/>
  <c r="L12" i="5" s="1"/>
  <c r="M12" i="5" s="1"/>
  <c r="G10" i="5"/>
  <c r="H10" i="5" s="1"/>
  <c r="I10" i="5" s="1"/>
  <c r="J10" i="5" s="1"/>
  <c r="K10" i="5" s="1"/>
  <c r="L10" i="5" s="1"/>
  <c r="M10" i="5" s="1"/>
  <c r="F10" i="5"/>
  <c r="E10" i="5"/>
  <c r="D10" i="5"/>
  <c r="C10" i="5"/>
  <c r="B10" i="5"/>
  <c r="H8" i="5"/>
  <c r="I8" i="5" s="1"/>
  <c r="J8" i="5" s="1"/>
  <c r="K8" i="5" s="1"/>
  <c r="L8" i="5" s="1"/>
  <c r="M8" i="5" s="1"/>
  <c r="H7" i="5"/>
  <c r="I7" i="5" s="1"/>
  <c r="J7" i="5" s="1"/>
  <c r="K7" i="5" s="1"/>
  <c r="L7" i="5" s="1"/>
  <c r="M7" i="5" s="1"/>
  <c r="H3" i="5"/>
  <c r="I3" i="5" s="1"/>
  <c r="J3" i="5" s="1"/>
  <c r="K3" i="5" s="1"/>
  <c r="L3" i="5" s="1"/>
  <c r="M3" i="5" s="1"/>
  <c r="H160" i="3" l="1"/>
  <c r="G160" i="3"/>
  <c r="F160" i="3"/>
  <c r="E160" i="3"/>
  <c r="D160" i="3"/>
  <c r="C160" i="3"/>
  <c r="H140" i="3"/>
  <c r="G140" i="3"/>
  <c r="F140" i="3"/>
  <c r="E140" i="3"/>
  <c r="D140" i="3"/>
  <c r="C140" i="3"/>
  <c r="H120" i="3"/>
  <c r="G120" i="3"/>
  <c r="F120" i="3"/>
  <c r="E120" i="3"/>
  <c r="D120" i="3"/>
  <c r="C120" i="3"/>
  <c r="H100" i="3"/>
  <c r="G100" i="3"/>
  <c r="F100" i="3"/>
  <c r="E100" i="3"/>
  <c r="D100" i="3"/>
  <c r="C100" i="3"/>
  <c r="H80" i="3"/>
  <c r="G80" i="3"/>
  <c r="F80" i="3"/>
  <c r="E80" i="3"/>
  <c r="D80" i="3"/>
  <c r="C80" i="3"/>
  <c r="H59" i="3"/>
  <c r="G59" i="3"/>
  <c r="F59" i="3"/>
  <c r="E59" i="3"/>
  <c r="D59" i="3"/>
  <c r="C59" i="3"/>
  <c r="H39" i="3"/>
  <c r="G39" i="3"/>
  <c r="F39" i="3"/>
  <c r="E39" i="3"/>
  <c r="D39" i="3"/>
  <c r="C39" i="3"/>
  <c r="D19" i="3"/>
  <c r="E19" i="3"/>
  <c r="F19" i="3"/>
  <c r="G19" i="3"/>
  <c r="H19" i="3"/>
  <c r="C1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tc={93295024-B4F3-4F82-8571-6076E636A88A}</author>
    <author>tc={7DDF856E-D5BA-46C6-92A8-92DDEB51E3FF}</author>
    <author>tc={045083F3-5E5D-4B75-9E02-FDEDEBDD4060}</author>
    <author>tc={1171364E-CB39-472D-8916-B67A0CD2D09C}</author>
    <author>tc={235211EB-A3ED-401A-921C-F5339CA81555}</author>
    <author>tc={AC3458B5-B889-4ECD-999B-2DEE5A067BF2}</author>
    <author>tc={0DE806D9-5AED-4316-B9B3-520E973E8614}</author>
    <author>tc={DB8488EE-C7E9-4D54-AB8B-C66AFF492F52}</author>
    <author>tc={112A26B4-1506-405F-9BC2-463DC00D24E9}</author>
  </authors>
  <commentList>
    <comment ref="A36" authorId="0" shapeId="0" xr:uid="{93295024-B4F3-4F82-8571-6076E636A8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(Total Collection Costs / Total Amount Collected) * 100% </t>
      </text>
    </comment>
    <comment ref="A37" authorId="1" shapeId="0" xr:uid="{7DDF856E-D5BA-46C6-92A8-92DDEB51E3FF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collection costs divided by the number of delinquent accounts.
(Total Collection Costs / Number of Delinquent Accounts)</t>
      </text>
    </comment>
    <comment ref="A38" authorId="2" shapeId="0" xr:uid="{045083F3-5E5D-4B75-9E02-FDEDEBDD40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 of complaints related to collection activities per 1000 accounts or as a percentage of interactions. </t>
      </text>
    </comment>
    <comment ref="A39" authorId="3" shapeId="0" xr:uid="{1171364E-CB39-472D-8916-B67A0CD2D09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recovery rates achieved by external collection agencies (ECAs) against the commissions or fees paid to them.
Calculation: (Amount Collected by Agency / Fees Paid to Agency) or (Agency Fees / Amount Collected by Agency) * 100%
</t>
      </text>
    </comment>
    <comment ref="A42" authorId="4" shapeId="0" xr:uid="{235211EB-A3ED-401A-921C-F5339CA815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number of calls, SMS, emails, or other contact attempts made per collector per hour </t>
      </text>
    </comment>
    <comment ref="A43" authorId="5" shapeId="0" xr:uid="{AC3458B5-B889-4ECD-999B-2DEE5A067BF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percentage of attempts where the intended borrower (or an authorized party) was successfully contacted. 
Calculation: (Number of RPCs / Total Contact Attempts) * 100% </t>
      </text>
    </comment>
    <comment ref="A44" authorId="6" shapeId="0" xr:uid="{0DE806D9-5AED-4316-B9B3-520E973E86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total amount collected divided by the number of collection agents (FTEs). </t>
      </text>
    </comment>
    <comment ref="A45" authorId="7" shapeId="0" xr:uid="{DB8488EE-C7E9-4D54-AB8B-C66AFF492F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number of accounts assigned to each collection agent. </t>
      </text>
    </comment>
    <comment ref="A46" authorId="8" shapeId="0" xr:uid="{112A26B4-1506-405F-9BC2-463DC00D24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Percentage of overdue accounts/amount collected through digital self-service channels (portals, apps, chatbots, IVR payments). </t>
      </text>
    </comment>
  </commentList>
</comments>
</file>

<file path=xl/sharedStrings.xml><?xml version="1.0" encoding="utf-8"?>
<sst xmlns="http://schemas.openxmlformats.org/spreadsheetml/2006/main" count="2702" uniqueCount="356">
  <si>
    <t>Overall Portfolio</t>
  </si>
  <si>
    <t>Total Portfolio by Risk</t>
  </si>
  <si>
    <t>Product wise</t>
  </si>
  <si>
    <t>Metric Type</t>
  </si>
  <si>
    <t xml:space="preserve">Metric </t>
  </si>
  <si>
    <t>Apr’25</t>
  </si>
  <si>
    <t>May’25</t>
  </si>
  <si>
    <t>Jun’25</t>
  </si>
  <si>
    <t>Jul’25</t>
  </si>
  <si>
    <t>Aug’25</t>
  </si>
  <si>
    <t>Bench-mark</t>
  </si>
  <si>
    <t>As on Date</t>
  </si>
  <si>
    <t>AUM (M USD)</t>
  </si>
  <si>
    <t>Book Size and Growth</t>
  </si>
  <si>
    <t>Total AUM (M USD)</t>
  </si>
  <si>
    <t>Secured</t>
  </si>
  <si>
    <t>PL</t>
  </si>
  <si>
    <t>- On Book AUM (M USD)</t>
  </si>
  <si>
    <t>- Off Book AUM (M USD)</t>
  </si>
  <si>
    <t>New Bookings (M USD)</t>
  </si>
  <si>
    <t>Uncecured Secured</t>
  </si>
  <si>
    <t>Consumer Loan</t>
  </si>
  <si>
    <t>Life till Date Disbursment</t>
  </si>
  <si>
    <t>Micro finance</t>
  </si>
  <si>
    <t>Wt Avg. ROI</t>
  </si>
  <si>
    <t>Housing Loan</t>
  </si>
  <si>
    <t>Wt Avg Tenor</t>
  </si>
  <si>
    <t>Auto Loan</t>
  </si>
  <si>
    <t>Averge Ticket Size (USD)</t>
  </si>
  <si>
    <t>Entry Rates</t>
  </si>
  <si>
    <t>Current BKT Bounce Rate ( %)</t>
  </si>
  <si>
    <t>10-12%</t>
  </si>
  <si>
    <t>First payment default (FPD)%</t>
  </si>
  <si>
    <t>FPD To GCL Trend (%)</t>
  </si>
  <si>
    <t>Portfolio Performance</t>
  </si>
  <si>
    <t>Forclosure (M USD)</t>
  </si>
  <si>
    <t>30+ @ 3 MOB (Quick Mortality)</t>
  </si>
  <si>
    <t>90+ @ 4 MOB (Non Starter)</t>
  </si>
  <si>
    <t>Non Starter to Gross Loss Trend (%)</t>
  </si>
  <si>
    <t>X+ Amt% excl w/o</t>
  </si>
  <si>
    <t>X+ Amt excl w/o (M USD)</t>
  </si>
  <si>
    <t>30+ Amt% excl w/o</t>
  </si>
  <si>
    <t>30+ Amt excl w/o (M USD)</t>
  </si>
  <si>
    <t>60+ Amt% excl w/o</t>
  </si>
  <si>
    <t>60+ Amt excl w/o (M USD)</t>
  </si>
  <si>
    <t>90+ Amt% excl w/o</t>
  </si>
  <si>
    <t>90+ Amt excl w/o (M USD)</t>
  </si>
  <si>
    <t>Gross cumulative W/off (M USD)</t>
  </si>
  <si>
    <t>Incremental Write off (M USD)</t>
  </si>
  <si>
    <t>Cumulative Recoveries (M USD)</t>
  </si>
  <si>
    <t>Incremental recoveries (M USD)</t>
  </si>
  <si>
    <t>Cumulative NCL (M USD)</t>
  </si>
  <si>
    <t>Total NCL / Total AUM ( %)</t>
  </si>
  <si>
    <t>Roll Rate Rates%</t>
  </si>
  <si>
    <t xml:space="preserve">BKT 1 </t>
  </si>
  <si>
    <t>BKT 2</t>
  </si>
  <si>
    <t>BKT 3</t>
  </si>
  <si>
    <t>BKT 4</t>
  </si>
  <si>
    <t>BKT 5</t>
  </si>
  <si>
    <t>BKT 6</t>
  </si>
  <si>
    <t>Process Efficiency</t>
  </si>
  <si>
    <t>Refer to Credit (%accounts)</t>
  </si>
  <si>
    <t>Approval Rate (%account)</t>
  </si>
  <si>
    <t>Rejection Rate (%account)</t>
  </si>
  <si>
    <t>&lt; 5%</t>
  </si>
  <si>
    <t>Policy Deviation (%account)</t>
  </si>
  <si>
    <t>PDD pending &gt; 60 days (#)</t>
  </si>
  <si>
    <t>--</t>
  </si>
  <si>
    <t>Provision Coverage</t>
  </si>
  <si>
    <t>Stage 1 POS (M USD)</t>
  </si>
  <si>
    <t>Provision Hold (M USD)</t>
  </si>
  <si>
    <t>Stage 2 POS (M USD)</t>
  </si>
  <si>
    <t>Stage 3 POS (M USD)</t>
  </si>
  <si>
    <t xml:space="preserve"> </t>
  </si>
  <si>
    <t>All the metrics  mentioned in this excel should be analyzed across the following dimensions also:
•	Loan type
•	Loan tenor
•	Program Type Wise like (income proof program, I-score based Surrogate Program, Car Ownership Program etc)
•	Customer segment (e.g., salaried vs. self-employed)
•	Product variant (Fresh, renewal, top-up)
•	Age brackets
•	Bureau bucket classification
•	Restructured loan book
•	Internal or external scores
•	Risk band segmentation (Very Low, Low, Medium, High)
•	Income Band
•	DBR Band
•	Limit Band
•	Location</t>
  </si>
  <si>
    <t>Wt. Avg. Tenor</t>
  </si>
  <si>
    <t>First payment default</t>
  </si>
  <si>
    <t>Net Credit Loss ( %)</t>
  </si>
  <si>
    <t>Micro Finance</t>
  </si>
  <si>
    <t>Personal Loan</t>
  </si>
  <si>
    <t>PDD pending &gt; 90 days (#)</t>
  </si>
  <si>
    <t>Total Active Portfolio</t>
  </si>
  <si>
    <t>Current Bkt (M USD)</t>
  </si>
  <si>
    <t>1-30 DPD (M USD)</t>
  </si>
  <si>
    <t>31-60 DPD (M USD)</t>
  </si>
  <si>
    <t>61-90 DPD (M USD)</t>
  </si>
  <si>
    <t>91-120 DPD (M USD)</t>
  </si>
  <si>
    <t>121-150 DPD (M USD)</t>
  </si>
  <si>
    <t>151-180 DPD (M USD)</t>
  </si>
  <si>
    <t>180-210 DPD (M USD)</t>
  </si>
  <si>
    <t>210+ DPD (M USD)</t>
  </si>
  <si>
    <t xml:space="preserve"> FWOF</t>
  </si>
  <si>
    <t>Bucket 1 Flow (%)</t>
  </si>
  <si>
    <t>Bucket 2 Flow (%)</t>
  </si>
  <si>
    <t>Bucket 3 Flow (%)</t>
  </si>
  <si>
    <t>Bucket 4 Flow (%)</t>
  </si>
  <si>
    <t>Bucket 5 Flow (%)</t>
  </si>
  <si>
    <t>Bucket 6 Flow (%)</t>
  </si>
  <si>
    <t>POF%</t>
  </si>
  <si>
    <t>Total Active Portfolio Secured</t>
  </si>
  <si>
    <t>Total Active Portfolio Unsecured</t>
  </si>
  <si>
    <t>ENR (M USD)</t>
  </si>
  <si>
    <t>Microfinance</t>
  </si>
  <si>
    <t>Was</t>
  </si>
  <si>
    <t>Is</t>
  </si>
  <si>
    <t>Roll Rates %</t>
  </si>
  <si>
    <t>Total Portfolio</t>
  </si>
  <si>
    <t>Bucket</t>
  </si>
  <si>
    <t>Amt.</t>
  </si>
  <si>
    <t>Current</t>
  </si>
  <si>
    <t>1 to 30 Days</t>
  </si>
  <si>
    <t>31 to 60 Days</t>
  </si>
  <si>
    <t>61 - 90 Days</t>
  </si>
  <si>
    <t>91 - 120 Days</t>
  </si>
  <si>
    <t>121 To 150 Days</t>
  </si>
  <si>
    <t>151 To 180 Days</t>
  </si>
  <si>
    <t>181 To 210 Days</t>
  </si>
  <si>
    <t>Normalized</t>
  </si>
  <si>
    <t>Roll-Backward</t>
  </si>
  <si>
    <t>Stabilized</t>
  </si>
  <si>
    <t>ROLL-FORWARD</t>
  </si>
  <si>
    <t>Current (New Booking)</t>
  </si>
  <si>
    <t>Total</t>
  </si>
  <si>
    <t>Secured Book</t>
  </si>
  <si>
    <t>Unsecured Book</t>
  </si>
  <si>
    <t>Repayment Trend| Overall</t>
  </si>
  <si>
    <t>Month</t>
  </si>
  <si>
    <t>EMI/(0 DPD till Write off DPD)</t>
  </si>
  <si>
    <t>MoM Collection EMIs Due Vs Repayment %</t>
  </si>
  <si>
    <t>Deliquent Account (DPD 1 - till write off)</t>
  </si>
  <si>
    <t>Total  Account (DPD 0 - till write off)</t>
  </si>
  <si>
    <t>Metrics</t>
  </si>
  <si>
    <t>B1 Reslution</t>
  </si>
  <si>
    <t>B1 Norm</t>
  </si>
  <si>
    <t>B1 Stab</t>
  </si>
  <si>
    <t>B1 Roll Forward</t>
  </si>
  <si>
    <t>B2 Resolution</t>
  </si>
  <si>
    <t>B2 Norm</t>
  </si>
  <si>
    <t>B2 Rollback</t>
  </si>
  <si>
    <t>B2 Stab</t>
  </si>
  <si>
    <t>B2 Roll Forward</t>
  </si>
  <si>
    <t>B3 Resolution</t>
  </si>
  <si>
    <t>B3 Norm</t>
  </si>
  <si>
    <t>B3 Rollback</t>
  </si>
  <si>
    <t>B3 Stab</t>
  </si>
  <si>
    <t>B3 Roll Forward</t>
  </si>
  <si>
    <t>B4 Resolution</t>
  </si>
  <si>
    <t>B4 Norm</t>
  </si>
  <si>
    <t>B4 Rollback</t>
  </si>
  <si>
    <t>B4 Stab</t>
  </si>
  <si>
    <t>B4 Roll Forward</t>
  </si>
  <si>
    <t>B5 Resolution</t>
  </si>
  <si>
    <t>B5 Norm</t>
  </si>
  <si>
    <t>B5 Rollback</t>
  </si>
  <si>
    <t>B5 Stab</t>
  </si>
  <si>
    <t>B5 Roll Forward</t>
  </si>
  <si>
    <t>B6 Resolution</t>
  </si>
  <si>
    <t>B6 Norm</t>
  </si>
  <si>
    <t>B6 Rollback</t>
  </si>
  <si>
    <t>B6 Stab</t>
  </si>
  <si>
    <t>B6 Roll Forward</t>
  </si>
  <si>
    <t>Collection Metrics</t>
  </si>
  <si>
    <t>Cost To Disbusal (%)</t>
  </si>
  <si>
    <t>Cost to Inventory (%)</t>
  </si>
  <si>
    <t>Total Collection Cost (%)</t>
  </si>
  <si>
    <t>Cost Per Delinquent Account (USD)</t>
  </si>
  <si>
    <t>Customer Complaint Rate (Collections Related) (%)</t>
  </si>
  <si>
    <t>Agency Performance vs. Cost: (%)</t>
  </si>
  <si>
    <t>PTP (No.)</t>
  </si>
  <si>
    <t>PTP (Amount)</t>
  </si>
  <si>
    <t>Contacts Per Hour (CPH) / Attempts Per Hour</t>
  </si>
  <si>
    <t>Right Party Contact (RPC) Rate (%)</t>
  </si>
  <si>
    <t>Collections Per Full-Time Equivalent (FTE)</t>
  </si>
  <si>
    <t>Accounts Per Collector</t>
  </si>
  <si>
    <t>Digital Collection Penetration (%)</t>
  </si>
  <si>
    <t>Difference</t>
  </si>
  <si>
    <t>Average 2022</t>
  </si>
  <si>
    <t>Average 2023</t>
  </si>
  <si>
    <t>Average 2024</t>
  </si>
  <si>
    <t>QTR 1-22</t>
  </si>
  <si>
    <t>QTR 2-22</t>
  </si>
  <si>
    <t>QTR 3-22</t>
  </si>
  <si>
    <t>QTR 4-22</t>
  </si>
  <si>
    <t>QTR 1-23</t>
  </si>
  <si>
    <t>QTR 2-23</t>
  </si>
  <si>
    <t>QTR 3-23</t>
  </si>
  <si>
    <t>QTR 4-23</t>
  </si>
  <si>
    <t>QTR 1-24</t>
  </si>
  <si>
    <t>QTR 2-24</t>
  </si>
  <si>
    <t>QTR 3-24</t>
  </si>
  <si>
    <t>QTR 4-24</t>
  </si>
  <si>
    <t>Total Non_Starter Analysis</t>
  </si>
  <si>
    <t>Personal Loans</t>
  </si>
  <si>
    <t>Facility in Force (#)</t>
  </si>
  <si>
    <t>ENR (EGP Mio)</t>
  </si>
  <si>
    <t>Mortgage Loans</t>
  </si>
  <si>
    <t>Unsecured Non_Starter Analysis</t>
  </si>
  <si>
    <t>Unsecured</t>
  </si>
  <si>
    <t>Secured Non_Starter Analysis</t>
  </si>
  <si>
    <t>Represents all the facilities that didn't pay any dues since the inception of the facility</t>
  </si>
  <si>
    <t>Represents all the balances that didn't pay any dues since the inception of the facility</t>
  </si>
  <si>
    <t>This is Approved Base</t>
  </si>
  <si>
    <t>This is Rejected Base</t>
  </si>
  <si>
    <t>LA Band</t>
  </si>
  <si>
    <t>Off-Us Loan Band</t>
  </si>
  <si>
    <t>Loan Type</t>
  </si>
  <si>
    <t>Upto 10K</t>
  </si>
  <si>
    <t>10K to 50K</t>
  </si>
  <si>
    <t>50K to 1L</t>
  </si>
  <si>
    <t>1L to 2L</t>
  </si>
  <si>
    <t>2L to 3L</t>
  </si>
  <si>
    <t xml:space="preserve"> &gt; 3L</t>
  </si>
  <si>
    <t xml:space="preserve"> Total</t>
  </si>
  <si>
    <t>(On-Us)</t>
  </si>
  <si>
    <t>10K</t>
  </si>
  <si>
    <t>10K-50K</t>
  </si>
  <si>
    <t>50K-1L</t>
  </si>
  <si>
    <t>1L-2L</t>
  </si>
  <si>
    <t>&gt; 2L</t>
  </si>
  <si>
    <t>Others</t>
  </si>
  <si>
    <t>CL</t>
  </si>
  <si>
    <t>CC</t>
  </si>
  <si>
    <t>BL</t>
  </si>
  <si>
    <t>AL</t>
  </si>
  <si>
    <t>HL</t>
  </si>
  <si>
    <t xml:space="preserve">Delinquency </t>
  </si>
  <si>
    <t>Current Off-us</t>
  </si>
  <si>
    <t>30+ Off-us</t>
  </si>
  <si>
    <t>60+ Off-us</t>
  </si>
  <si>
    <t>90+ Off-us</t>
  </si>
  <si>
    <t>Current Outside</t>
  </si>
  <si>
    <t>30+ Outside</t>
  </si>
  <si>
    <t>60+ Outside</t>
  </si>
  <si>
    <t>90+ Outside</t>
  </si>
  <si>
    <t>Current On-us</t>
  </si>
  <si>
    <t>No of Cases</t>
  </si>
  <si>
    <t>30+ On-us</t>
  </si>
  <si>
    <t>Value of Cases</t>
  </si>
  <si>
    <t>60+ On-us</t>
  </si>
  <si>
    <t>90+ On-us</t>
  </si>
  <si>
    <t>Turned In Applications (#)</t>
  </si>
  <si>
    <t>Processed (#)</t>
  </si>
  <si>
    <t>Approvals (#)</t>
  </si>
  <si>
    <t>Approvals (EGP Mio)</t>
  </si>
  <si>
    <t>Rejections (#)</t>
  </si>
  <si>
    <t>Cancellations (#)</t>
  </si>
  <si>
    <t>Approval Rate (%)</t>
  </si>
  <si>
    <t>Rejection Rate (%)</t>
  </si>
  <si>
    <t>Bookings (EGP Mio) (Gross)</t>
  </si>
  <si>
    <t>Bookings (EGP Mio) (Net)</t>
  </si>
  <si>
    <t>Bookings (#)</t>
  </si>
  <si>
    <t>Booking (%)</t>
  </si>
  <si>
    <t>Bureau Band Wise</t>
  </si>
  <si>
    <t>Fresh</t>
  </si>
  <si>
    <t>Renewal</t>
  </si>
  <si>
    <t>Topup</t>
  </si>
  <si>
    <t>30+ @ 3MOB</t>
  </si>
  <si>
    <t>Bureau Bucket</t>
  </si>
  <si>
    <t>July'22</t>
  </si>
  <si>
    <t>Aug'22</t>
  </si>
  <si>
    <t>Sep'22</t>
  </si>
  <si>
    <t>Oct'22</t>
  </si>
  <si>
    <t>Nov'22</t>
  </si>
  <si>
    <t>Dec'22</t>
  </si>
  <si>
    <t>NTC</t>
  </si>
  <si>
    <t>650-689</t>
  </si>
  <si>
    <t>690-750</t>
  </si>
  <si>
    <t>751-800</t>
  </si>
  <si>
    <t>&gt;800</t>
  </si>
  <si>
    <t>Portfoli</t>
  </si>
  <si>
    <t>Business Distribution</t>
  </si>
  <si>
    <t>Jan'23</t>
  </si>
  <si>
    <t>Feb'23</t>
  </si>
  <si>
    <t>Mar'23</t>
  </si>
  <si>
    <t>X+</t>
  </si>
  <si>
    <t>30+</t>
  </si>
  <si>
    <t>60+</t>
  </si>
  <si>
    <t>90+</t>
  </si>
  <si>
    <t>Gross Loss</t>
  </si>
  <si>
    <t>Recoveries</t>
  </si>
  <si>
    <t>NCL</t>
  </si>
  <si>
    <t>LA</t>
  </si>
  <si>
    <t>GCL</t>
  </si>
  <si>
    <t>Jan'22</t>
  </si>
  <si>
    <t>Feb'22</t>
  </si>
  <si>
    <t>Mar'22</t>
  </si>
  <si>
    <t>Apr'22</t>
  </si>
  <si>
    <t>May'22</t>
  </si>
  <si>
    <t>Jun'22</t>
  </si>
  <si>
    <t>Jul'22</t>
  </si>
  <si>
    <t>Secured Portfolio</t>
  </si>
  <si>
    <t>Unsecured Portfolio</t>
  </si>
  <si>
    <t>Conusmer Loan</t>
  </si>
  <si>
    <t>Branch</t>
  </si>
  <si>
    <t># Disb</t>
  </si>
  <si>
    <t>$ Disb</t>
  </si>
  <si>
    <t>% Disb</t>
  </si>
  <si>
    <t>$ ATS</t>
  </si>
  <si>
    <t>% WROI</t>
  </si>
  <si>
    <t>% WROI L3M</t>
  </si>
  <si>
    <t>W MOB</t>
  </si>
  <si>
    <t>$ AUM</t>
  </si>
  <si>
    <t>$ NEA</t>
  </si>
  <si>
    <t>% NEA</t>
  </si>
  <si>
    <t># X+ (Jul'25)</t>
  </si>
  <si>
    <t># X+ (Jun'25)</t>
  </si>
  <si>
    <t># X+ (May'25)</t>
  </si>
  <si>
    <t>$ X+ (Jul'25)</t>
  </si>
  <si>
    <t>$ X+ (Jun'25)</t>
  </si>
  <si>
    <t>$ X+ (May'25)</t>
  </si>
  <si>
    <t>% X+ (Jul'25)</t>
  </si>
  <si>
    <t>% X+ (Jun'25)</t>
  </si>
  <si>
    <t>% X+ (May'25)</t>
  </si>
  <si>
    <t># 30+ (Jul'25)</t>
  </si>
  <si>
    <t># 30+ (Jun'25)</t>
  </si>
  <si>
    <t># 30+ (May'25)</t>
  </si>
  <si>
    <t>$ 30+ (Jul'25)</t>
  </si>
  <si>
    <t>$ 30+ (Jun'25)</t>
  </si>
  <si>
    <t>$ 30+ (May'25)</t>
  </si>
  <si>
    <t>% 30+ (Jul'25)</t>
  </si>
  <si>
    <t>% 30+ (Jun'25)</t>
  </si>
  <si>
    <t>% 30+ (May'25)</t>
  </si>
  <si>
    <t># 90+ (Jul'25)</t>
  </si>
  <si>
    <t># 90+ (Jun'25)</t>
  </si>
  <si>
    <t># 90+ (May'25)</t>
  </si>
  <si>
    <t>$ 90+ (Jul'25)</t>
  </si>
  <si>
    <t>$ 90+ (Jun'25)</t>
  </si>
  <si>
    <t>$ 90+ (May'25)</t>
  </si>
  <si>
    <t>% 90+ (Jul'25)</t>
  </si>
  <si>
    <t>% 90+ (Jun'25)</t>
  </si>
  <si>
    <t>% 90+ (May'25)</t>
  </si>
  <si>
    <t>% Bounce (T) Jul 25</t>
  </si>
  <si>
    <t>% Bounce (T) Jun 25</t>
  </si>
  <si>
    <t>% Bounce (T) May 25</t>
  </si>
  <si>
    <t>% Bounce (C) Jul 25</t>
  </si>
  <si>
    <t>% Bounce (C) Jun 25</t>
  </si>
  <si>
    <t>% Bounce (C) May 25</t>
  </si>
  <si>
    <t>A</t>
  </si>
  <si>
    <t>B</t>
  </si>
  <si>
    <t>C</t>
  </si>
  <si>
    <t>D</t>
  </si>
  <si>
    <t>Zone</t>
  </si>
  <si>
    <t>Cibil band</t>
  </si>
  <si>
    <t>LTV Band</t>
  </si>
  <si>
    <t>Collateral type</t>
  </si>
  <si>
    <t>FOIR Band</t>
  </si>
  <si>
    <t>Product</t>
  </si>
  <si>
    <t>Program</t>
  </si>
  <si>
    <t>Industry</t>
  </si>
  <si>
    <t>Customer category</t>
  </si>
  <si>
    <t>Risk score band</t>
  </si>
  <si>
    <t>ABB band</t>
  </si>
  <si>
    <t>CMR</t>
  </si>
  <si>
    <t>Turnover band</t>
  </si>
  <si>
    <t>Profit band</t>
  </si>
  <si>
    <t>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</si>
</sst>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.0_);\(#,##0.0\)"/>
    <numFmt numFmtId="165" formatCode="0.0%"/>
    <numFmt numFmtId="166" formatCode="[$-409]mmm\-yy;@"/>
    <numFmt numFmtId="167" formatCode="[$-409]mmm\-yy"/>
    <numFmt numFmtId="168" formatCode="_(* #,##0_);_(* \(#,##0\);_(* &quot;-&quot;??_);_(@_)"/>
    <numFmt numFmtId="169" formatCode="_(* #,##0.0_);_(* \(#,##0.0\);_(* &quot;-&quot;??_);_(@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i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Aharoni"/>
      <charset val="177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9"/>
      <name val="Calibri"/>
      <family val="2"/>
      <scheme val="minor"/>
    </font>
    <font>
      <b/>
      <i/>
      <sz val="11"/>
      <color theme="1"/>
      <name val="Aharoni"/>
      <charset val="177"/>
    </font>
    <font>
      <b/>
      <i/>
      <sz val="11"/>
      <name val="Calibri"/>
      <family val="2"/>
      <scheme val="minor"/>
    </font>
    <font>
      <b/>
      <sz val="9"/>
      <name val="Calibri"/>
      <family val="2"/>
      <scheme val="minor"/>
    </font>
    <font>
      <b/>
      <i/>
      <sz val="11"/>
      <color theme="0"/>
      <name val="Aharoni"/>
      <charset val="177"/>
    </font>
    <font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color theme="1"/>
      <name val="Aharoni"/>
      <charset val="177"/>
    </font>
    <font>
      <sz val="9"/>
      <color theme="1"/>
      <name val="Calibri"/>
      <family val="2"/>
      <scheme val="minor"/>
    </font>
    <font>
      <sz val="8"/>
      <color theme="1"/>
      <name val="Aharoni"/>
      <charset val="177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sz val="7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4.4"/>
      <color rgb="FF000000"/>
      <name val="Calibri"/>
      <family val="2"/>
      <scheme val="minor"/>
    </font>
    <font>
      <b/>
      <sz val="12.6"/>
      <color rgb="FF000000"/>
      <name val="Calibri"/>
      <family val="2"/>
      <scheme val="minor"/>
    </font>
  </fonts>
  <fills count="110">
    <fill>
      <patternFill patternType="none"/>
    </fill>
    <fill>
      <patternFill patternType="gray125"/>
    </fill>
    <fill>
      <patternFill patternType="solid">
        <fgColor rgb="FFCFE7F5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rgb="FFFEF2CB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EA84"/>
        <bgColor indexed="64"/>
      </patternFill>
    </fill>
    <fill>
      <patternFill patternType="solid">
        <fgColor rgb="FFFECF7F"/>
        <bgColor indexed="64"/>
      </patternFill>
    </fill>
    <fill>
      <patternFill patternType="solid">
        <fgColor rgb="FFFED280"/>
        <bgColor indexed="64"/>
      </patternFill>
    </fill>
    <fill>
      <patternFill patternType="solid">
        <fgColor rgb="FFFAE983"/>
        <bgColor indexed="64"/>
      </patternFill>
    </fill>
    <fill>
      <patternFill patternType="solid">
        <fgColor rgb="FFF3E783"/>
        <bgColor indexed="64"/>
      </patternFill>
    </fill>
    <fill>
      <patternFill patternType="solid">
        <fgColor rgb="FFE7E482"/>
        <bgColor indexed="64"/>
      </patternFill>
    </fill>
    <fill>
      <patternFill patternType="solid">
        <fgColor rgb="FFE4E382"/>
        <bgColor indexed="64"/>
      </patternFill>
    </fill>
    <fill>
      <patternFill patternType="solid">
        <fgColor rgb="FFE2E282"/>
        <bgColor indexed="64"/>
      </patternFill>
    </fill>
    <fill>
      <patternFill patternType="solid">
        <fgColor rgb="FFDBE081"/>
        <bgColor indexed="64"/>
      </patternFill>
    </fill>
    <fill>
      <patternFill patternType="solid">
        <fgColor rgb="FF8CC97D"/>
        <bgColor indexed="64"/>
      </patternFill>
    </fill>
    <fill>
      <patternFill patternType="solid">
        <fgColor rgb="FFFFDA81"/>
        <bgColor indexed="64"/>
      </patternFill>
    </fill>
    <fill>
      <patternFill patternType="solid">
        <fgColor rgb="FFFED380"/>
        <bgColor indexed="64"/>
      </patternFill>
    </fill>
    <fill>
      <patternFill patternType="solid">
        <fgColor rgb="FFFFDF82"/>
        <bgColor indexed="64"/>
      </patternFill>
    </fill>
    <fill>
      <patternFill patternType="solid">
        <fgColor rgb="FFBAD780"/>
        <bgColor indexed="64"/>
      </patternFill>
    </fill>
    <fill>
      <patternFill patternType="solid">
        <fgColor rgb="FFFDB87B"/>
        <bgColor indexed="64"/>
      </patternFill>
    </fill>
    <fill>
      <patternFill patternType="solid">
        <fgColor rgb="FFFB9173"/>
        <bgColor indexed="64"/>
      </patternFill>
    </fill>
    <fill>
      <patternFill patternType="solid">
        <fgColor rgb="FFFCA878"/>
        <bgColor indexed="64"/>
      </patternFill>
    </fill>
    <fill>
      <patternFill patternType="solid">
        <fgColor rgb="FFFDBE7C"/>
        <bgColor indexed="64"/>
      </patternFill>
    </fill>
    <fill>
      <patternFill patternType="solid">
        <fgColor rgb="FFFECB7E"/>
        <bgColor indexed="64"/>
      </patternFill>
    </fill>
    <fill>
      <patternFill patternType="solid">
        <fgColor rgb="FFF7E883"/>
        <bgColor indexed="64"/>
      </patternFill>
    </fill>
    <fill>
      <patternFill patternType="solid">
        <fgColor rgb="FFD8DF81"/>
        <bgColor indexed="64"/>
      </patternFill>
    </fill>
    <fill>
      <patternFill patternType="solid">
        <fgColor rgb="FF82C77C"/>
        <bgColor indexed="64"/>
      </patternFill>
    </fill>
    <fill>
      <patternFill patternType="solid">
        <fgColor rgb="FF81C67C"/>
        <bgColor indexed="64"/>
      </patternFill>
    </fill>
    <fill>
      <patternFill patternType="solid">
        <fgColor rgb="FF7EC57C"/>
        <bgColor indexed="64"/>
      </patternFill>
    </fill>
    <fill>
      <patternFill patternType="solid">
        <fgColor rgb="FFCBDC81"/>
        <bgColor indexed="64"/>
      </patternFill>
    </fill>
    <fill>
      <patternFill patternType="solid">
        <fgColor rgb="FFC5DA80"/>
        <bgColor indexed="64"/>
      </patternFill>
    </fill>
    <fill>
      <patternFill patternType="solid">
        <fgColor rgb="FFFCA978"/>
        <bgColor indexed="64"/>
      </patternFill>
    </fill>
    <fill>
      <patternFill patternType="solid">
        <fgColor rgb="FFFCAD79"/>
        <bgColor indexed="64"/>
      </patternFill>
    </fill>
    <fill>
      <patternFill patternType="solid">
        <fgColor rgb="FFFDBA7B"/>
        <bgColor indexed="64"/>
      </patternFill>
    </fill>
    <fill>
      <patternFill patternType="solid">
        <fgColor rgb="FFFCEA83"/>
        <bgColor indexed="64"/>
      </patternFill>
    </fill>
    <fill>
      <patternFill patternType="solid">
        <fgColor rgb="FF8AC97D"/>
        <bgColor indexed="64"/>
      </patternFill>
    </fill>
    <fill>
      <patternFill patternType="solid">
        <fgColor rgb="FFFDBC7B"/>
        <bgColor indexed="64"/>
      </patternFill>
    </fill>
    <fill>
      <patternFill patternType="solid">
        <fgColor rgb="FFFDC47D"/>
        <bgColor indexed="64"/>
      </patternFill>
    </fill>
    <fill>
      <patternFill patternType="solid">
        <fgColor rgb="FFFDC57D"/>
        <bgColor indexed="64"/>
      </patternFill>
    </fill>
    <fill>
      <patternFill patternType="solid">
        <fgColor rgb="FFFED680"/>
        <bgColor indexed="64"/>
      </patternFill>
    </fill>
    <fill>
      <patternFill patternType="solid">
        <fgColor rgb="FFFFDE82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FDC67D"/>
        <bgColor indexed="64"/>
      </patternFill>
    </fill>
    <fill>
      <patternFill patternType="solid">
        <fgColor rgb="FFFA8C72"/>
        <bgColor indexed="64"/>
      </patternFill>
    </fill>
    <fill>
      <patternFill patternType="solid">
        <fgColor rgb="FFFB9874"/>
        <bgColor indexed="64"/>
      </patternFill>
    </fill>
    <fill>
      <patternFill patternType="solid">
        <fgColor rgb="FFFEC87E"/>
        <bgColor indexed="64"/>
      </patternFill>
    </fill>
    <fill>
      <patternFill patternType="solid">
        <fgColor rgb="FF82C67C"/>
        <bgColor indexed="64"/>
      </patternFill>
    </fill>
    <fill>
      <patternFill patternType="solid">
        <fgColor rgb="FFF9E983"/>
        <bgColor indexed="64"/>
      </patternFill>
    </fill>
    <fill>
      <patternFill patternType="solid">
        <fgColor rgb="FFF6E883"/>
        <bgColor indexed="64"/>
      </patternFill>
    </fill>
    <fill>
      <patternFill patternType="solid">
        <fgColor rgb="FF83C77C"/>
        <bgColor indexed="64"/>
      </patternFill>
    </fill>
    <fill>
      <patternFill patternType="solid">
        <fgColor rgb="FFFFDD82"/>
        <bgColor indexed="64"/>
      </patternFill>
    </fill>
    <fill>
      <patternFill patternType="solid">
        <fgColor rgb="FFFED17F"/>
        <bgColor indexed="64"/>
      </patternFill>
    </fill>
    <fill>
      <patternFill patternType="solid">
        <fgColor rgb="FFFFE683"/>
        <bgColor indexed="64"/>
      </patternFill>
    </fill>
    <fill>
      <patternFill patternType="solid">
        <fgColor rgb="FFFEEA83"/>
        <bgColor indexed="64"/>
      </patternFill>
    </fill>
    <fill>
      <patternFill patternType="solid">
        <fgColor rgb="FFF2E783"/>
        <bgColor indexed="64"/>
      </patternFill>
    </fill>
    <fill>
      <patternFill patternType="solid">
        <fgColor rgb="FF7EC67C"/>
        <bgColor indexed="64"/>
      </patternFill>
    </fill>
    <fill>
      <patternFill patternType="solid">
        <fgColor rgb="FFFED981"/>
        <bgColor indexed="64"/>
      </patternFill>
    </fill>
    <fill>
      <patternFill patternType="solid">
        <fgColor rgb="FFFDC27C"/>
        <bgColor indexed="64"/>
      </patternFill>
    </fill>
    <fill>
      <patternFill patternType="solid">
        <fgColor rgb="FFF4E883"/>
        <bgColor indexed="64"/>
      </patternFill>
    </fill>
    <fill>
      <patternFill patternType="solid">
        <fgColor rgb="FF7DC57C"/>
        <bgColor indexed="64"/>
      </patternFill>
    </fill>
    <fill>
      <patternFill patternType="solid">
        <fgColor rgb="FFFCB279"/>
        <bgColor indexed="64"/>
      </patternFill>
    </fill>
    <fill>
      <patternFill patternType="solid">
        <fgColor rgb="FFFFE884"/>
        <bgColor indexed="64"/>
      </patternFill>
    </fill>
    <fill>
      <patternFill patternType="solid">
        <fgColor rgb="FFFCA577"/>
        <bgColor indexed="64"/>
      </patternFill>
    </fill>
    <fill>
      <patternFill patternType="solid">
        <fgColor rgb="FFFCB37A"/>
        <bgColor indexed="64"/>
      </patternFill>
    </fill>
    <fill>
      <patternFill patternType="solid">
        <fgColor rgb="FFD3DE81"/>
        <bgColor indexed="64"/>
      </patternFill>
    </fill>
    <fill>
      <patternFill patternType="solid">
        <fgColor rgb="FFFCA477"/>
        <bgColor indexed="64"/>
      </patternFill>
    </fill>
    <fill>
      <patternFill patternType="solid">
        <fgColor rgb="FFFCAE79"/>
        <bgColor indexed="64"/>
      </patternFill>
    </fill>
    <fill>
      <patternFill patternType="solid">
        <fgColor rgb="FF8CCA7D"/>
        <bgColor indexed="64"/>
      </patternFill>
    </fill>
    <fill>
      <patternFill patternType="solid">
        <fgColor rgb="FFE8E482"/>
        <bgColor indexed="64"/>
      </patternFill>
    </fill>
    <fill>
      <patternFill patternType="solid">
        <fgColor rgb="FFFA8370"/>
        <bgColor indexed="64"/>
      </patternFill>
    </fill>
    <fill>
      <patternFill patternType="solid">
        <fgColor rgb="FFFB9374"/>
        <bgColor indexed="64"/>
      </patternFill>
    </fill>
    <fill>
      <patternFill patternType="solid">
        <fgColor rgb="FFFA8871"/>
        <bgColor indexed="64"/>
      </patternFill>
    </fill>
    <fill>
      <patternFill patternType="solid">
        <fgColor rgb="FFFECA7E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96D6C"/>
        <bgColor indexed="64"/>
      </patternFill>
    </fill>
    <fill>
      <patternFill patternType="solid">
        <fgColor rgb="FFE0E282"/>
        <bgColor indexed="64"/>
      </patternFill>
    </fill>
    <fill>
      <patternFill patternType="solid">
        <fgColor rgb="FFFA8E73"/>
        <bgColor indexed="64"/>
      </patternFill>
    </fill>
    <fill>
      <patternFill patternType="solid">
        <fgColor rgb="FFFA8070"/>
        <bgColor indexed="64"/>
      </patternFill>
    </fill>
    <fill>
      <patternFill patternType="solid">
        <fgColor rgb="FF85C77C"/>
        <bgColor indexed="64"/>
      </patternFill>
    </fill>
    <fill>
      <patternFill patternType="solid">
        <fgColor rgb="FFDCE081"/>
        <bgColor indexed="64"/>
      </patternFill>
    </fill>
    <fill>
      <patternFill patternType="solid">
        <fgColor rgb="FFFB9A75"/>
        <bgColor indexed="64"/>
      </patternFill>
    </fill>
    <fill>
      <patternFill patternType="solid">
        <fgColor rgb="FF8BC97D"/>
        <bgColor indexed="64"/>
      </patternFill>
    </fill>
    <fill>
      <patternFill patternType="solid">
        <fgColor rgb="FF8FCA7D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</fills>
  <borders count="116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dotted">
        <color theme="1"/>
      </bottom>
      <diagonal/>
    </border>
    <border>
      <left/>
      <right/>
      <top style="medium">
        <color theme="1"/>
      </top>
      <bottom style="dotted">
        <color theme="1"/>
      </bottom>
      <diagonal/>
    </border>
    <border>
      <left style="dotted">
        <color theme="1"/>
      </left>
      <right/>
      <top/>
      <bottom/>
      <diagonal/>
    </border>
    <border>
      <left style="dotted">
        <color theme="1"/>
      </left>
      <right style="dotted">
        <color theme="1"/>
      </right>
      <top style="dotted">
        <color theme="1"/>
      </top>
      <bottom style="dotted">
        <color theme="1"/>
      </bottom>
      <diagonal/>
    </border>
    <border>
      <left style="dotted">
        <color theme="1"/>
      </left>
      <right style="dotted">
        <color theme="1"/>
      </right>
      <top/>
      <bottom/>
      <diagonal/>
    </border>
    <border>
      <left/>
      <right/>
      <top/>
      <bottom style="dotted">
        <color theme="1"/>
      </bottom>
      <diagonal/>
    </border>
    <border>
      <left/>
      <right style="dotted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 style="dotted">
        <color theme="1"/>
      </left>
      <right style="dotted">
        <color theme="1"/>
      </right>
      <top/>
      <bottom style="dotted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rgb="FF00000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 style="double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dashed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 style="medium">
        <color theme="1"/>
      </top>
      <bottom style="medium">
        <color theme="1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theme="1"/>
      </left>
      <right style="thin">
        <color rgb="FFCCCCCC"/>
      </right>
      <top style="medium">
        <color theme="1"/>
      </top>
      <bottom/>
      <diagonal/>
    </border>
    <border>
      <left style="thin">
        <color rgb="FFCCCCCC"/>
      </left>
      <right/>
      <top style="medium">
        <color theme="1"/>
      </top>
      <bottom style="thin">
        <color rgb="FFCCCCCC"/>
      </bottom>
      <diagonal/>
    </border>
    <border>
      <left/>
      <right/>
      <top style="medium">
        <color theme="1"/>
      </top>
      <bottom style="thin">
        <color rgb="FFCCCCCC"/>
      </bottom>
      <diagonal/>
    </border>
    <border>
      <left/>
      <right style="medium">
        <color theme="1"/>
      </right>
      <top style="medium">
        <color theme="1"/>
      </top>
      <bottom style="thin">
        <color rgb="FFCCCCCC"/>
      </bottom>
      <diagonal/>
    </border>
    <border>
      <left style="medium">
        <color theme="1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medium">
        <color theme="1"/>
      </right>
      <top style="thin">
        <color rgb="FFCCCCCC"/>
      </top>
      <bottom style="thin">
        <color rgb="FFCCCCCC"/>
      </bottom>
      <diagonal/>
    </border>
    <border>
      <left style="medium">
        <color theme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theme="1"/>
      </left>
      <right style="thin">
        <color rgb="FFCCCCCC"/>
      </right>
      <top style="thin">
        <color rgb="FFCCCCCC"/>
      </top>
      <bottom style="medium">
        <color theme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theme="1"/>
      </bottom>
      <diagonal/>
    </border>
    <border>
      <left style="thin">
        <color rgb="FFCCCCCC"/>
      </left>
      <right style="medium">
        <color theme="1"/>
      </right>
      <top style="thin">
        <color rgb="FFCCCCCC"/>
      </top>
      <bottom style="medium">
        <color theme="1"/>
      </bottom>
      <diagonal/>
    </border>
    <border>
      <left style="medium">
        <color theme="1"/>
      </left>
      <right style="dotted">
        <color theme="1"/>
      </right>
      <top style="medium">
        <color theme="1"/>
      </top>
      <bottom style="dotted">
        <color theme="1"/>
      </bottom>
      <diagonal/>
    </border>
    <border>
      <left style="dotted">
        <color theme="1"/>
      </left>
      <right style="dotted">
        <color theme="1"/>
      </right>
      <top style="medium">
        <color theme="1"/>
      </top>
      <bottom style="dotted">
        <color theme="1"/>
      </bottom>
      <diagonal/>
    </border>
    <border>
      <left style="dotted">
        <color theme="1"/>
      </left>
      <right style="medium">
        <color theme="1"/>
      </right>
      <top style="medium">
        <color theme="1"/>
      </top>
      <bottom style="dotted">
        <color theme="1"/>
      </bottom>
      <diagonal/>
    </border>
    <border>
      <left style="medium">
        <color theme="1"/>
      </left>
      <right style="dotted">
        <color theme="1"/>
      </right>
      <top style="dotted">
        <color theme="1"/>
      </top>
      <bottom style="dotted">
        <color theme="1"/>
      </bottom>
      <diagonal/>
    </border>
    <border>
      <left style="dotted">
        <color theme="1"/>
      </left>
      <right style="medium">
        <color theme="1"/>
      </right>
      <top style="dotted">
        <color theme="1"/>
      </top>
      <bottom style="dotted">
        <color theme="1"/>
      </bottom>
      <diagonal/>
    </border>
    <border>
      <left style="medium">
        <color theme="1"/>
      </left>
      <right style="dotted">
        <color theme="1"/>
      </right>
      <top style="dotted">
        <color theme="1"/>
      </top>
      <bottom style="medium">
        <color theme="1"/>
      </bottom>
      <diagonal/>
    </border>
    <border>
      <left style="dotted">
        <color theme="1"/>
      </left>
      <right style="dotted">
        <color theme="1"/>
      </right>
      <top style="dotted">
        <color theme="1"/>
      </top>
      <bottom style="medium">
        <color theme="1"/>
      </bottom>
      <diagonal/>
    </border>
    <border>
      <left style="dotted">
        <color theme="1"/>
      </left>
      <right style="medium">
        <color theme="1"/>
      </right>
      <top style="dotted">
        <color theme="1"/>
      </top>
      <bottom style="medium">
        <color theme="1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dotted">
        <color theme="1"/>
      </right>
      <top style="dotted">
        <color theme="1"/>
      </top>
      <bottom style="dotted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0" fillId="0" borderId="0"/>
  </cellStyleXfs>
  <cellXfs count="365">
    <xf numFmtId="0" fontId="0" fillId="0" borderId="0" xfId="0"/>
    <xf numFmtId="0" fontId="6" fillId="0" borderId="1" xfId="0" applyFont="1" applyBorder="1" applyAlignment="1">
      <alignment horizontal="left" wrapText="1" readingOrder="1"/>
    </xf>
    <xf numFmtId="0" fontId="6" fillId="0" borderId="1" xfId="0" applyFont="1" applyBorder="1" applyAlignment="1">
      <alignment horizontal="center" wrapText="1" readingOrder="1"/>
    </xf>
    <xf numFmtId="0" fontId="4" fillId="0" borderId="1" xfId="0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wrapText="1" readingOrder="1"/>
    </xf>
    <xf numFmtId="10" fontId="6" fillId="3" borderId="1" xfId="0" applyNumberFormat="1" applyFont="1" applyFill="1" applyBorder="1" applyAlignment="1">
      <alignment horizontal="center" wrapText="1" readingOrder="1"/>
    </xf>
    <xf numFmtId="10" fontId="6" fillId="4" borderId="1" xfId="0" applyNumberFormat="1" applyFont="1" applyFill="1" applyBorder="1" applyAlignment="1">
      <alignment horizontal="center" wrapText="1" readingOrder="1"/>
    </xf>
    <xf numFmtId="0" fontId="3" fillId="0" borderId="0" xfId="0" applyFont="1"/>
    <xf numFmtId="0" fontId="5" fillId="2" borderId="4" xfId="0" applyFont="1" applyFill="1" applyBorder="1" applyAlignment="1">
      <alignment horizontal="left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wrapText="1" readingOrder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5" borderId="4" xfId="0" applyFont="1" applyFill="1" applyBorder="1" applyAlignment="1">
      <alignment horizontal="left" wrapText="1" readingOrder="1"/>
    </xf>
    <xf numFmtId="0" fontId="5" fillId="5" borderId="4" xfId="0" applyFont="1" applyFill="1" applyBorder="1" applyAlignment="1">
      <alignment horizontal="center" vertical="center" wrapText="1" readingOrder="1"/>
    </xf>
    <xf numFmtId="0" fontId="5" fillId="5" borderId="4" xfId="0" applyFont="1" applyFill="1" applyBorder="1" applyAlignment="1">
      <alignment horizontal="center" wrapText="1" readingOrder="1"/>
    </xf>
    <xf numFmtId="164" fontId="10" fillId="7" borderId="11" xfId="0" applyNumberFormat="1" applyFont="1" applyFill="1" applyBorder="1" applyAlignment="1">
      <alignment horizontal="center" vertical="center"/>
    </xf>
    <xf numFmtId="43" fontId="9" fillId="6" borderId="11" xfId="0" applyNumberFormat="1" applyFont="1" applyFill="1" applyBorder="1" applyAlignment="1">
      <alignment horizontal="left" wrapText="1"/>
    </xf>
    <xf numFmtId="165" fontId="10" fillId="8" borderId="11" xfId="0" applyNumberFormat="1" applyFont="1" applyFill="1" applyBorder="1" applyAlignment="1">
      <alignment horizontal="center"/>
    </xf>
    <xf numFmtId="0" fontId="10" fillId="7" borderId="20" xfId="0" applyFont="1" applyFill="1" applyBorder="1" applyAlignment="1">
      <alignment horizontal="left" vertical="center" wrapText="1"/>
    </xf>
    <xf numFmtId="2" fontId="10" fillId="7" borderId="18" xfId="0" applyNumberFormat="1" applyFont="1" applyFill="1" applyBorder="1" applyAlignment="1">
      <alignment horizontal="left" vertical="center" wrapText="1"/>
    </xf>
    <xf numFmtId="3" fontId="10" fillId="7" borderId="18" xfId="0" applyNumberFormat="1" applyFont="1" applyFill="1" applyBorder="1" applyAlignment="1">
      <alignment horizontal="left" vertical="center" wrapText="1"/>
    </xf>
    <xf numFmtId="3" fontId="10" fillId="7" borderId="21" xfId="0" applyNumberFormat="1" applyFont="1" applyFill="1" applyBorder="1" applyAlignment="1">
      <alignment horizontal="left" vertical="center" wrapText="1"/>
    </xf>
    <xf numFmtId="0" fontId="9" fillId="6" borderId="18" xfId="0" applyFont="1" applyFill="1" applyBorder="1" applyAlignment="1">
      <alignment horizontal="left" wrapText="1"/>
    </xf>
    <xf numFmtId="3" fontId="10" fillId="7" borderId="22" xfId="0" applyNumberFormat="1" applyFont="1" applyFill="1" applyBorder="1" applyAlignment="1">
      <alignment horizontal="left" vertical="center" wrapText="1"/>
    </xf>
    <xf numFmtId="0" fontId="7" fillId="9" borderId="11" xfId="0" applyFont="1" applyFill="1" applyBorder="1" applyAlignment="1">
      <alignment vertical="center" wrapText="1"/>
    </xf>
    <xf numFmtId="17" fontId="8" fillId="9" borderId="11" xfId="0" applyNumberFormat="1" applyFont="1" applyFill="1" applyBorder="1" applyAlignment="1">
      <alignment horizontal="center" vertical="center"/>
    </xf>
    <xf numFmtId="0" fontId="9" fillId="7" borderId="19" xfId="0" applyFont="1" applyFill="1" applyBorder="1" applyAlignment="1">
      <alignment horizontal="left" vertical="center" wrapText="1"/>
    </xf>
    <xf numFmtId="164" fontId="9" fillId="7" borderId="23" xfId="0" applyNumberFormat="1" applyFont="1" applyFill="1" applyBorder="1" applyAlignment="1">
      <alignment horizontal="center" vertical="center"/>
    </xf>
    <xf numFmtId="166" fontId="11" fillId="6" borderId="16" xfId="0" applyNumberFormat="1" applyFont="1" applyFill="1" applyBorder="1" applyAlignment="1">
      <alignment horizontal="left" vertical="center" wrapText="1"/>
    </xf>
    <xf numFmtId="0" fontId="0" fillId="7" borderId="0" xfId="0" applyFill="1"/>
    <xf numFmtId="2" fontId="11" fillId="6" borderId="29" xfId="0" applyNumberFormat="1" applyFont="1" applyFill="1" applyBorder="1" applyAlignment="1">
      <alignment horizontal="left" vertical="center" wrapText="1"/>
    </xf>
    <xf numFmtId="2" fontId="11" fillId="6" borderId="30" xfId="0" applyNumberFormat="1" applyFont="1" applyFill="1" applyBorder="1" applyAlignment="1">
      <alignment horizontal="left" vertical="center" wrapText="1"/>
    </xf>
    <xf numFmtId="2" fontId="11" fillId="6" borderId="31" xfId="0" applyNumberFormat="1" applyFont="1" applyFill="1" applyBorder="1" applyAlignment="1">
      <alignment horizontal="left" vertical="center" wrapText="1"/>
    </xf>
    <xf numFmtId="2" fontId="11" fillId="6" borderId="32" xfId="0" applyNumberFormat="1" applyFont="1" applyFill="1" applyBorder="1" applyAlignment="1">
      <alignment horizontal="left" vertical="center" wrapText="1"/>
    </xf>
    <xf numFmtId="43" fontId="11" fillId="6" borderId="16" xfId="1" applyFont="1" applyFill="1" applyBorder="1" applyAlignment="1">
      <alignment horizontal="left" vertical="center" wrapText="1"/>
    </xf>
    <xf numFmtId="43" fontId="0" fillId="4" borderId="0" xfId="1" applyFont="1" applyFill="1" applyBorder="1"/>
    <xf numFmtId="43" fontId="0" fillId="10" borderId="0" xfId="1" applyFont="1" applyFill="1" applyBorder="1"/>
    <xf numFmtId="0" fontId="12" fillId="8" borderId="33" xfId="3" applyFont="1" applyFill="1" applyBorder="1"/>
    <xf numFmtId="165" fontId="12" fillId="8" borderId="34" xfId="2" applyNumberFormat="1" applyFont="1" applyFill="1" applyBorder="1"/>
    <xf numFmtId="165" fontId="12" fillId="4" borderId="34" xfId="2" applyNumberFormat="1" applyFont="1" applyFill="1" applyBorder="1"/>
    <xf numFmtId="165" fontId="12" fillId="10" borderId="35" xfId="2" applyNumberFormat="1" applyFont="1" applyFill="1" applyBorder="1"/>
    <xf numFmtId="43" fontId="0" fillId="11" borderId="0" xfId="1" applyFont="1" applyFill="1" applyBorder="1"/>
    <xf numFmtId="165" fontId="12" fillId="8" borderId="36" xfId="4" applyNumberFormat="1" applyFont="1" applyFill="1" applyBorder="1"/>
    <xf numFmtId="165" fontId="12" fillId="8" borderId="37" xfId="2" applyNumberFormat="1" applyFont="1" applyFill="1" applyBorder="1"/>
    <xf numFmtId="165" fontId="12" fillId="4" borderId="37" xfId="2" applyNumberFormat="1" applyFont="1" applyFill="1" applyBorder="1"/>
    <xf numFmtId="165" fontId="12" fillId="10" borderId="38" xfId="2" applyNumberFormat="1" applyFont="1" applyFill="1" applyBorder="1"/>
    <xf numFmtId="165" fontId="12" fillId="8" borderId="39" xfId="4" applyNumberFormat="1" applyFont="1" applyFill="1" applyBorder="1"/>
    <xf numFmtId="2" fontId="11" fillId="6" borderId="40" xfId="0" applyNumberFormat="1" applyFont="1" applyFill="1" applyBorder="1" applyAlignment="1">
      <alignment horizontal="left" vertical="center" wrapText="1"/>
    </xf>
    <xf numFmtId="43" fontId="11" fillId="6" borderId="41" xfId="1" applyFont="1" applyFill="1" applyBorder="1" applyAlignment="1">
      <alignment horizontal="left" vertical="center" wrapText="1"/>
    </xf>
    <xf numFmtId="2" fontId="11" fillId="6" borderId="41" xfId="0" applyNumberFormat="1" applyFont="1" applyFill="1" applyBorder="1" applyAlignment="1">
      <alignment horizontal="left" vertical="center" wrapText="1"/>
    </xf>
    <xf numFmtId="2" fontId="11" fillId="6" borderId="42" xfId="0" applyNumberFormat="1" applyFont="1" applyFill="1" applyBorder="1" applyAlignment="1">
      <alignment horizontal="left" vertical="center" wrapText="1"/>
    </xf>
    <xf numFmtId="0" fontId="13" fillId="7" borderId="0" xfId="0" applyFont="1" applyFill="1" applyAlignment="1">
      <alignment horizontal="center" vertical="center" textRotation="90"/>
    </xf>
    <xf numFmtId="2" fontId="11" fillId="7" borderId="0" xfId="0" applyNumberFormat="1" applyFont="1" applyFill="1" applyAlignment="1">
      <alignment horizontal="left" vertical="center" wrapText="1"/>
    </xf>
    <xf numFmtId="43" fontId="11" fillId="7" borderId="0" xfId="1" applyFont="1" applyFill="1" applyBorder="1" applyAlignment="1">
      <alignment horizontal="left" vertical="center" wrapText="1"/>
    </xf>
    <xf numFmtId="0" fontId="15" fillId="12" borderId="11" xfId="0" applyFont="1" applyFill="1" applyBorder="1" applyAlignment="1">
      <alignment horizontal="center"/>
    </xf>
    <xf numFmtId="10" fontId="16" fillId="12" borderId="11" xfId="0" applyNumberFormat="1" applyFont="1" applyFill="1" applyBorder="1" applyAlignment="1">
      <alignment horizontal="center" vertical="center" wrapText="1"/>
    </xf>
    <xf numFmtId="10" fontId="0" fillId="12" borderId="11" xfId="0" applyNumberFormat="1" applyFill="1" applyBorder="1"/>
    <xf numFmtId="0" fontId="15" fillId="13" borderId="11" xfId="0" applyFont="1" applyFill="1" applyBorder="1" applyAlignment="1">
      <alignment horizontal="center"/>
    </xf>
    <xf numFmtId="10" fontId="16" fillId="13" borderId="11" xfId="0" applyNumberFormat="1" applyFont="1" applyFill="1" applyBorder="1" applyAlignment="1">
      <alignment horizontal="center" vertical="center" wrapText="1"/>
    </xf>
    <xf numFmtId="10" fontId="0" fillId="13" borderId="11" xfId="0" applyNumberFormat="1" applyFill="1" applyBorder="1"/>
    <xf numFmtId="0" fontId="15" fillId="14" borderId="11" xfId="0" applyFont="1" applyFill="1" applyBorder="1" applyAlignment="1">
      <alignment horizontal="center"/>
    </xf>
    <xf numFmtId="10" fontId="16" fillId="14" borderId="11" xfId="0" applyNumberFormat="1" applyFont="1" applyFill="1" applyBorder="1" applyAlignment="1">
      <alignment horizontal="center" vertical="center" wrapText="1"/>
    </xf>
    <xf numFmtId="10" fontId="0" fillId="14" borderId="11" xfId="0" applyNumberFormat="1" applyFill="1" applyBorder="1"/>
    <xf numFmtId="10" fontId="14" fillId="14" borderId="11" xfId="0" applyNumberFormat="1" applyFont="1" applyFill="1" applyBorder="1"/>
    <xf numFmtId="9" fontId="0" fillId="14" borderId="11" xfId="0" applyNumberFormat="1" applyFill="1" applyBorder="1"/>
    <xf numFmtId="0" fontId="15" fillId="15" borderId="11" xfId="0" applyFont="1" applyFill="1" applyBorder="1" applyAlignment="1">
      <alignment horizontal="center"/>
    </xf>
    <xf numFmtId="10" fontId="16" fillId="15" borderId="11" xfId="0" applyNumberFormat="1" applyFont="1" applyFill="1" applyBorder="1" applyAlignment="1">
      <alignment horizontal="center" vertical="center" wrapText="1"/>
    </xf>
    <xf numFmtId="10" fontId="0" fillId="15" borderId="11" xfId="0" applyNumberFormat="1" applyFill="1" applyBorder="1"/>
    <xf numFmtId="10" fontId="14" fillId="15" borderId="11" xfId="0" applyNumberFormat="1" applyFont="1" applyFill="1" applyBorder="1"/>
    <xf numFmtId="9" fontId="0" fillId="15" borderId="11" xfId="0" applyNumberFormat="1" applyFill="1" applyBorder="1"/>
    <xf numFmtId="0" fontId="15" fillId="6" borderId="11" xfId="0" applyFont="1" applyFill="1" applyBorder="1" applyAlignment="1">
      <alignment horizontal="center"/>
    </xf>
    <xf numFmtId="10" fontId="16" fillId="6" borderId="11" xfId="0" applyNumberFormat="1" applyFont="1" applyFill="1" applyBorder="1" applyAlignment="1">
      <alignment horizontal="center" vertical="center" wrapText="1"/>
    </xf>
    <xf numFmtId="10" fontId="0" fillId="6" borderId="11" xfId="0" applyNumberFormat="1" applyFill="1" applyBorder="1"/>
    <xf numFmtId="10" fontId="14" fillId="6" borderId="11" xfId="0" applyNumberFormat="1" applyFont="1" applyFill="1" applyBorder="1"/>
    <xf numFmtId="9" fontId="0" fillId="6" borderId="11" xfId="0" applyNumberFormat="1" applyFill="1" applyBorder="1"/>
    <xf numFmtId="0" fontId="15" fillId="16" borderId="11" xfId="0" applyFont="1" applyFill="1" applyBorder="1" applyAlignment="1">
      <alignment horizontal="center"/>
    </xf>
    <xf numFmtId="10" fontId="16" fillId="16" borderId="11" xfId="0" applyNumberFormat="1" applyFont="1" applyFill="1" applyBorder="1" applyAlignment="1">
      <alignment horizontal="center" vertical="center" wrapText="1"/>
    </xf>
    <xf numFmtId="10" fontId="0" fillId="16" borderId="11" xfId="0" applyNumberFormat="1" applyFill="1" applyBorder="1"/>
    <xf numFmtId="10" fontId="14" fillId="16" borderId="11" xfId="0" applyNumberFormat="1" applyFont="1" applyFill="1" applyBorder="1"/>
    <xf numFmtId="9" fontId="0" fillId="16" borderId="11" xfId="0" applyNumberFormat="1" applyFill="1" applyBorder="1"/>
    <xf numFmtId="167" fontId="17" fillId="17" borderId="11" xfId="0" applyNumberFormat="1" applyFont="1" applyFill="1" applyBorder="1" applyAlignment="1">
      <alignment horizontal="center" vertical="center"/>
    </xf>
    <xf numFmtId="0" fontId="18" fillId="7" borderId="0" xfId="0" applyFont="1" applyFill="1" applyAlignment="1">
      <alignment wrapText="1"/>
    </xf>
    <xf numFmtId="0" fontId="0" fillId="7" borderId="0" xfId="0" applyFill="1" applyAlignment="1">
      <alignment wrapText="1"/>
    </xf>
    <xf numFmtId="4" fontId="0" fillId="7" borderId="0" xfId="0" applyNumberFormat="1" applyFill="1"/>
    <xf numFmtId="0" fontId="19" fillId="7" borderId="0" xfId="0" applyFont="1" applyFill="1"/>
    <xf numFmtId="166" fontId="21" fillId="18" borderId="0" xfId="5" applyNumberFormat="1" applyFont="1" applyFill="1" applyAlignment="1">
      <alignment horizontal="center"/>
    </xf>
    <xf numFmtId="0" fontId="22" fillId="7" borderId="0" xfId="0" applyFont="1" applyFill="1" applyAlignment="1">
      <alignment vertical="center" wrapText="1"/>
    </xf>
    <xf numFmtId="0" fontId="23" fillId="7" borderId="0" xfId="0" applyFont="1" applyFill="1" applyAlignment="1">
      <alignment vertical="center" wrapText="1"/>
    </xf>
    <xf numFmtId="17" fontId="24" fillId="7" borderId="0" xfId="0" applyNumberFormat="1" applyFont="1" applyFill="1" applyAlignment="1">
      <alignment horizontal="center" vertical="center"/>
    </xf>
    <xf numFmtId="17" fontId="24" fillId="7" borderId="0" xfId="0" applyNumberFormat="1" applyFont="1" applyFill="1" applyAlignment="1">
      <alignment horizontal="center" vertical="center" wrapText="1"/>
    </xf>
    <xf numFmtId="0" fontId="25" fillId="19" borderId="0" xfId="0" applyFont="1" applyFill="1" applyAlignment="1">
      <alignment vertical="center"/>
    </xf>
    <xf numFmtId="0" fontId="2" fillId="19" borderId="0" xfId="0" applyFont="1" applyFill="1" applyAlignment="1">
      <alignment vertical="center" wrapText="1"/>
    </xf>
    <xf numFmtId="0" fontId="26" fillId="7" borderId="0" xfId="0" applyFont="1" applyFill="1"/>
    <xf numFmtId="0" fontId="29" fillId="7" borderId="30" xfId="1" applyNumberFormat="1" applyFont="1" applyFill="1" applyBorder="1" applyAlignment="1">
      <alignment horizontal="left" vertical="center"/>
    </xf>
    <xf numFmtId="43" fontId="11" fillId="20" borderId="53" xfId="1" applyFont="1" applyFill="1" applyBorder="1" applyAlignment="1">
      <alignment horizontal="center"/>
    </xf>
    <xf numFmtId="168" fontId="29" fillId="0" borderId="53" xfId="1" applyNumberFormat="1" applyFont="1" applyFill="1" applyBorder="1" applyAlignment="1">
      <alignment horizontal="center"/>
    </xf>
    <xf numFmtId="168" fontId="29" fillId="0" borderId="54" xfId="1" applyNumberFormat="1" applyFont="1" applyFill="1" applyBorder="1" applyAlignment="1">
      <alignment horizontal="center"/>
    </xf>
    <xf numFmtId="168" fontId="29" fillId="0" borderId="55" xfId="1" applyNumberFormat="1" applyFont="1" applyFill="1" applyBorder="1" applyAlignment="1">
      <alignment horizontal="center"/>
    </xf>
    <xf numFmtId="169" fontId="11" fillId="0" borderId="56" xfId="1" applyNumberFormat="1" applyFont="1" applyFill="1" applyBorder="1" applyAlignment="1">
      <alignment horizontal="center"/>
    </xf>
    <xf numFmtId="169" fontId="11" fillId="0" borderId="57" xfId="1" applyNumberFormat="1" applyFont="1" applyFill="1" applyBorder="1" applyAlignment="1">
      <alignment horizontal="center"/>
    </xf>
    <xf numFmtId="0" fontId="29" fillId="7" borderId="41" xfId="1" applyNumberFormat="1" applyFont="1" applyFill="1" applyBorder="1" applyAlignment="1">
      <alignment horizontal="left" vertical="center"/>
    </xf>
    <xf numFmtId="43" fontId="29" fillId="20" borderId="59" xfId="1" applyFont="1" applyFill="1" applyBorder="1" applyAlignment="1">
      <alignment horizontal="center"/>
    </xf>
    <xf numFmtId="43" fontId="29" fillId="0" borderId="59" xfId="1" applyFont="1" applyFill="1" applyBorder="1" applyAlignment="1">
      <alignment horizontal="center"/>
    </xf>
    <xf numFmtId="43" fontId="29" fillId="0" borderId="60" xfId="1" applyFont="1" applyFill="1" applyBorder="1" applyAlignment="1">
      <alignment horizontal="center"/>
    </xf>
    <xf numFmtId="43" fontId="29" fillId="0" borderId="61" xfId="1" applyFont="1" applyFill="1" applyBorder="1" applyAlignment="1">
      <alignment horizontal="center"/>
    </xf>
    <xf numFmtId="169" fontId="29" fillId="0" borderId="56" xfId="1" applyNumberFormat="1" applyFont="1" applyFill="1" applyBorder="1" applyAlignment="1">
      <alignment horizontal="center"/>
    </xf>
    <xf numFmtId="169" fontId="29" fillId="0" borderId="57" xfId="1" applyNumberFormat="1" applyFont="1" applyFill="1" applyBorder="1" applyAlignment="1">
      <alignment horizontal="center"/>
    </xf>
    <xf numFmtId="168" fontId="11" fillId="0" borderId="53" xfId="1" applyNumberFormat="1" applyFont="1" applyFill="1" applyBorder="1" applyAlignment="1">
      <alignment horizontal="center"/>
    </xf>
    <xf numFmtId="168" fontId="11" fillId="0" borderId="54" xfId="1" applyNumberFormat="1" applyFont="1" applyFill="1" applyBorder="1" applyAlignment="1">
      <alignment horizontal="center"/>
    </xf>
    <xf numFmtId="168" fontId="11" fillId="0" borderId="55" xfId="1" applyNumberFormat="1" applyFont="1" applyFill="1" applyBorder="1" applyAlignment="1">
      <alignment horizontal="center"/>
    </xf>
    <xf numFmtId="43" fontId="11" fillId="20" borderId="62" xfId="1" applyFont="1" applyFill="1" applyBorder="1" applyAlignment="1">
      <alignment horizontal="center"/>
    </xf>
    <xf numFmtId="43" fontId="11" fillId="0" borderId="62" xfId="1" applyFont="1" applyFill="1" applyBorder="1" applyAlignment="1">
      <alignment horizontal="center"/>
    </xf>
    <xf numFmtId="0" fontId="30" fillId="7" borderId="0" xfId="0" applyFont="1" applyFill="1"/>
    <xf numFmtId="169" fontId="31" fillId="6" borderId="56" xfId="1" applyNumberFormat="1" applyFont="1" applyFill="1" applyBorder="1" applyAlignment="1">
      <alignment horizontal="center"/>
    </xf>
    <xf numFmtId="169" fontId="32" fillId="6" borderId="56" xfId="1" applyNumberFormat="1" applyFont="1" applyFill="1" applyBorder="1" applyAlignment="1">
      <alignment horizontal="center"/>
    </xf>
    <xf numFmtId="169" fontId="32" fillId="7" borderId="56" xfId="1" applyNumberFormat="1" applyFont="1" applyFill="1" applyBorder="1" applyAlignment="1">
      <alignment horizontal="center"/>
    </xf>
    <xf numFmtId="169" fontId="32" fillId="7" borderId="63" xfId="1" applyNumberFormat="1" applyFont="1" applyFill="1" applyBorder="1" applyAlignment="1">
      <alignment horizontal="center"/>
    </xf>
    <xf numFmtId="169" fontId="32" fillId="7" borderId="64" xfId="1" applyNumberFormat="1" applyFont="1" applyFill="1" applyBorder="1" applyAlignment="1">
      <alignment horizontal="center"/>
    </xf>
    <xf numFmtId="0" fontId="31" fillId="6" borderId="16" xfId="1" applyNumberFormat="1" applyFont="1" applyFill="1" applyBorder="1" applyAlignment="1">
      <alignment horizontal="left" vertical="center"/>
    </xf>
    <xf numFmtId="0" fontId="32" fillId="7" borderId="16" xfId="1" applyNumberFormat="1" applyFont="1" applyFill="1" applyBorder="1" applyAlignment="1">
      <alignment horizontal="left" vertical="center"/>
    </xf>
    <xf numFmtId="0" fontId="32" fillId="7" borderId="17" xfId="1" applyNumberFormat="1" applyFont="1" applyFill="1" applyBorder="1" applyAlignment="1">
      <alignment horizontal="left" vertical="center"/>
    </xf>
    <xf numFmtId="0" fontId="32" fillId="7" borderId="65" xfId="1" applyNumberFormat="1" applyFont="1" applyFill="1" applyBorder="1" applyAlignment="1">
      <alignment horizontal="left" vertical="center"/>
    </xf>
    <xf numFmtId="0" fontId="32" fillId="7" borderId="17" xfId="2" applyNumberFormat="1" applyFont="1" applyFill="1" applyBorder="1" applyAlignment="1">
      <alignment horizontal="left" vertical="center"/>
    </xf>
    <xf numFmtId="0" fontId="31" fillId="6" borderId="15" xfId="1" applyNumberFormat="1" applyFont="1" applyFill="1" applyBorder="1" applyAlignment="1">
      <alignment horizontal="left" vertical="center"/>
    </xf>
    <xf numFmtId="17" fontId="31" fillId="7" borderId="66" xfId="0" applyNumberFormat="1" applyFont="1" applyFill="1" applyBorder="1" applyAlignment="1">
      <alignment horizontal="center" vertical="center" wrapText="1"/>
    </xf>
    <xf numFmtId="17" fontId="31" fillId="7" borderId="7" xfId="0" applyNumberFormat="1" applyFont="1" applyFill="1" applyBorder="1" applyAlignment="1">
      <alignment horizontal="center" vertical="center" wrapText="1"/>
    </xf>
    <xf numFmtId="0" fontId="33" fillId="7" borderId="5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71" xfId="0" applyFont="1" applyBorder="1" applyAlignment="1">
      <alignment horizontal="center" vertical="center" wrapText="1"/>
    </xf>
    <xf numFmtId="0" fontId="35" fillId="22" borderId="72" xfId="0" applyFont="1" applyFill="1" applyBorder="1" applyAlignment="1">
      <alignment horizontal="center" wrapText="1" readingOrder="1"/>
    </xf>
    <xf numFmtId="0" fontId="35" fillId="22" borderId="73" xfId="0" applyFont="1" applyFill="1" applyBorder="1" applyAlignment="1">
      <alignment horizontal="center" wrapText="1" readingOrder="1"/>
    </xf>
    <xf numFmtId="0" fontId="35" fillId="22" borderId="74" xfId="0" applyFont="1" applyFill="1" applyBorder="1" applyAlignment="1">
      <alignment horizontal="center" wrapText="1" readingOrder="1"/>
    </xf>
    <xf numFmtId="0" fontId="36" fillId="0" borderId="75" xfId="0" applyFont="1" applyBorder="1" applyAlignment="1">
      <alignment horizontal="center" wrapText="1" readingOrder="1"/>
    </xf>
    <xf numFmtId="10" fontId="36" fillId="0" borderId="76" xfId="0" applyNumberFormat="1" applyFont="1" applyBorder="1" applyAlignment="1">
      <alignment horizontal="center" wrapText="1" readingOrder="1"/>
    </xf>
    <xf numFmtId="10" fontId="36" fillId="0" borderId="77" xfId="0" applyNumberFormat="1" applyFont="1" applyBorder="1" applyAlignment="1">
      <alignment horizontal="center" wrapText="1" readingOrder="1"/>
    </xf>
    <xf numFmtId="0" fontId="36" fillId="0" borderId="77" xfId="0" applyFont="1" applyBorder="1" applyAlignment="1">
      <alignment horizontal="center" wrapText="1" readingOrder="1"/>
    </xf>
    <xf numFmtId="0" fontId="36" fillId="0" borderId="78" xfId="0" applyFont="1" applyBorder="1" applyAlignment="1">
      <alignment horizontal="center" wrapText="1" readingOrder="1"/>
    </xf>
    <xf numFmtId="10" fontId="36" fillId="0" borderId="79" xfId="0" applyNumberFormat="1" applyFont="1" applyBorder="1" applyAlignment="1">
      <alignment horizontal="center" wrapText="1" readingOrder="1"/>
    </xf>
    <xf numFmtId="10" fontId="36" fillId="0" borderId="80" xfId="0" applyNumberFormat="1" applyFont="1" applyBorder="1" applyAlignment="1">
      <alignment horizontal="center" wrapText="1" readingOrder="1"/>
    </xf>
    <xf numFmtId="10" fontId="36" fillId="23" borderId="79" xfId="0" applyNumberFormat="1" applyFont="1" applyFill="1" applyBorder="1" applyAlignment="1">
      <alignment horizontal="center" wrapText="1" readingOrder="1"/>
    </xf>
    <xf numFmtId="10" fontId="36" fillId="23" borderId="80" xfId="0" applyNumberFormat="1" applyFont="1" applyFill="1" applyBorder="1" applyAlignment="1">
      <alignment horizontal="center" wrapText="1" readingOrder="1"/>
    </xf>
    <xf numFmtId="0" fontId="34" fillId="0" borderId="81" xfId="0" applyFont="1" applyBorder="1" applyAlignment="1">
      <alignment horizontal="center" wrapText="1" readingOrder="1"/>
    </xf>
    <xf numFmtId="10" fontId="36" fillId="0" borderId="82" xfId="0" applyNumberFormat="1" applyFont="1" applyBorder="1" applyAlignment="1">
      <alignment horizontal="center" wrapText="1" readingOrder="1"/>
    </xf>
    <xf numFmtId="10" fontId="36" fillId="0" borderId="83" xfId="0" applyNumberFormat="1" applyFont="1" applyBorder="1" applyAlignment="1">
      <alignment horizontal="center" wrapText="1" readingOrder="1"/>
    </xf>
    <xf numFmtId="0" fontId="4" fillId="0" borderId="69" xfId="0" applyFont="1" applyBorder="1" applyAlignment="1">
      <alignment horizontal="center" vertical="center" wrapText="1"/>
    </xf>
    <xf numFmtId="0" fontId="35" fillId="22" borderId="75" xfId="0" applyFont="1" applyFill="1" applyBorder="1" applyAlignment="1">
      <alignment horizontal="center" wrapText="1" readingOrder="1"/>
    </xf>
    <xf numFmtId="0" fontId="35" fillId="22" borderId="76" xfId="0" applyFont="1" applyFill="1" applyBorder="1" applyAlignment="1">
      <alignment horizontal="center" wrapText="1" readingOrder="1"/>
    </xf>
    <xf numFmtId="0" fontId="35" fillId="22" borderId="77" xfId="0" applyFont="1" applyFill="1" applyBorder="1" applyAlignment="1">
      <alignment horizontal="center" wrapText="1" readingOrder="1"/>
    </xf>
    <xf numFmtId="9" fontId="36" fillId="0" borderId="79" xfId="0" applyNumberFormat="1" applyFont="1" applyBorder="1" applyAlignment="1">
      <alignment horizontal="center" wrapText="1" readingOrder="1"/>
    </xf>
    <xf numFmtId="9" fontId="36" fillId="0" borderId="80" xfId="0" applyNumberFormat="1" applyFont="1" applyBorder="1" applyAlignment="1">
      <alignment horizontal="center" wrapText="1" readingOrder="1"/>
    </xf>
    <xf numFmtId="0" fontId="36" fillId="0" borderId="81" xfId="0" applyFont="1" applyBorder="1" applyAlignment="1">
      <alignment horizontal="center" wrapText="1" readingOrder="1"/>
    </xf>
    <xf numFmtId="9" fontId="34" fillId="0" borderId="82" xfId="0" applyNumberFormat="1" applyFont="1" applyBorder="1" applyAlignment="1">
      <alignment horizontal="center" wrapText="1" readingOrder="1"/>
    </xf>
    <xf numFmtId="9" fontId="36" fillId="0" borderId="82" xfId="0" applyNumberFormat="1" applyFont="1" applyBorder="1" applyAlignment="1">
      <alignment horizontal="center" wrapText="1" readingOrder="1"/>
    </xf>
    <xf numFmtId="9" fontId="36" fillId="0" borderId="83" xfId="0" applyNumberFormat="1" applyFont="1" applyBorder="1" applyAlignment="1">
      <alignment horizontal="center" wrapText="1" readingOrder="1"/>
    </xf>
    <xf numFmtId="10" fontId="34" fillId="0" borderId="82" xfId="0" applyNumberFormat="1" applyFont="1" applyBorder="1" applyAlignment="1">
      <alignment horizontal="center" wrapText="1" readingOrder="1"/>
    </xf>
    <xf numFmtId="0" fontId="37" fillId="24" borderId="84" xfId="0" applyFont="1" applyFill="1" applyBorder="1" applyAlignment="1">
      <alignment horizontal="center" vertical="center" wrapText="1" readingOrder="1"/>
    </xf>
    <xf numFmtId="0" fontId="38" fillId="0" borderId="1" xfId="0" applyFont="1" applyBorder="1" applyAlignment="1">
      <alignment horizontal="center" vertical="center" wrapText="1" readingOrder="1"/>
    </xf>
    <xf numFmtId="10" fontId="38" fillId="25" borderId="1" xfId="0" applyNumberFormat="1" applyFont="1" applyFill="1" applyBorder="1" applyAlignment="1">
      <alignment horizontal="center" vertical="center" wrapText="1" readingOrder="1"/>
    </xf>
    <xf numFmtId="10" fontId="38" fillId="26" borderId="1" xfId="0" applyNumberFormat="1" applyFont="1" applyFill="1" applyBorder="1" applyAlignment="1">
      <alignment horizontal="center" vertical="center" wrapText="1" readingOrder="1"/>
    </xf>
    <xf numFmtId="10" fontId="38" fillId="27" borderId="1" xfId="0" applyNumberFormat="1" applyFont="1" applyFill="1" applyBorder="1" applyAlignment="1">
      <alignment horizontal="center" vertical="center" wrapText="1" readingOrder="1"/>
    </xf>
    <xf numFmtId="10" fontId="38" fillId="28" borderId="1" xfId="0" applyNumberFormat="1" applyFont="1" applyFill="1" applyBorder="1" applyAlignment="1">
      <alignment horizontal="center" vertical="center" wrapText="1" readingOrder="1"/>
    </xf>
    <xf numFmtId="10" fontId="38" fillId="29" borderId="1" xfId="0" applyNumberFormat="1" applyFont="1" applyFill="1" applyBorder="1" applyAlignment="1">
      <alignment horizontal="center" vertical="center" wrapText="1" readingOrder="1"/>
    </xf>
    <xf numFmtId="10" fontId="38" fillId="34" borderId="1" xfId="0" applyNumberFormat="1" applyFont="1" applyFill="1" applyBorder="1" applyAlignment="1">
      <alignment horizontal="center" vertical="center" wrapText="1" readingOrder="1"/>
    </xf>
    <xf numFmtId="10" fontId="38" fillId="35" borderId="1" xfId="0" applyNumberFormat="1" applyFont="1" applyFill="1" applyBorder="1" applyAlignment="1">
      <alignment horizontal="center" vertical="center" wrapText="1" readingOrder="1"/>
    </xf>
    <xf numFmtId="10" fontId="38" fillId="36" borderId="1" xfId="0" applyNumberFormat="1" applyFont="1" applyFill="1" applyBorder="1" applyAlignment="1">
      <alignment horizontal="center" vertical="center" wrapText="1" readingOrder="1"/>
    </xf>
    <xf numFmtId="10" fontId="38" fillId="37" borderId="1" xfId="0" applyNumberFormat="1" applyFont="1" applyFill="1" applyBorder="1" applyAlignment="1">
      <alignment horizontal="center" vertical="center" wrapText="1" readingOrder="1"/>
    </xf>
    <xf numFmtId="10" fontId="38" fillId="38" borderId="1" xfId="0" applyNumberFormat="1" applyFont="1" applyFill="1" applyBorder="1" applyAlignment="1">
      <alignment horizontal="center" vertical="center" wrapText="1" readingOrder="1"/>
    </xf>
    <xf numFmtId="0" fontId="38" fillId="0" borderId="1" xfId="0" applyFont="1" applyBorder="1" applyAlignment="1">
      <alignment horizontal="center" wrapText="1" readingOrder="1"/>
    </xf>
    <xf numFmtId="10" fontId="38" fillId="39" borderId="1" xfId="0" applyNumberFormat="1" applyFont="1" applyFill="1" applyBorder="1" applyAlignment="1">
      <alignment horizontal="center" vertical="center" wrapText="1" readingOrder="1"/>
    </xf>
    <xf numFmtId="10" fontId="38" fillId="40" borderId="1" xfId="0" applyNumberFormat="1" applyFont="1" applyFill="1" applyBorder="1" applyAlignment="1">
      <alignment horizontal="center" vertical="center" wrapText="1" readingOrder="1"/>
    </xf>
    <xf numFmtId="10" fontId="38" fillId="41" borderId="1" xfId="0" applyNumberFormat="1" applyFont="1" applyFill="1" applyBorder="1" applyAlignment="1">
      <alignment horizontal="center" vertical="center" wrapText="1" readingOrder="1"/>
    </xf>
    <xf numFmtId="10" fontId="38" fillId="42" borderId="1" xfId="0" applyNumberFormat="1" applyFont="1" applyFill="1" applyBorder="1" applyAlignment="1">
      <alignment horizontal="center" vertical="center" wrapText="1" readingOrder="1"/>
    </xf>
    <xf numFmtId="10" fontId="38" fillId="43" borderId="1" xfId="0" applyNumberFormat="1" applyFont="1" applyFill="1" applyBorder="1" applyAlignment="1">
      <alignment horizontal="center" vertical="center" wrapText="1" readingOrder="1"/>
    </xf>
    <xf numFmtId="10" fontId="38" fillId="44" borderId="1" xfId="0" applyNumberFormat="1" applyFont="1" applyFill="1" applyBorder="1" applyAlignment="1">
      <alignment horizontal="center" vertical="center" wrapText="1" readingOrder="1"/>
    </xf>
    <xf numFmtId="10" fontId="38" fillId="46" borderId="1" xfId="0" applyNumberFormat="1" applyFont="1" applyFill="1" applyBorder="1" applyAlignment="1">
      <alignment horizontal="center" vertical="center" wrapText="1" readingOrder="1"/>
    </xf>
    <xf numFmtId="10" fontId="38" fillId="48" borderId="1" xfId="0" applyNumberFormat="1" applyFont="1" applyFill="1" applyBorder="1" applyAlignment="1">
      <alignment horizontal="center" vertical="center" wrapText="1" readingOrder="1"/>
    </xf>
    <xf numFmtId="10" fontId="38" fillId="45" borderId="1" xfId="0" applyNumberFormat="1" applyFont="1" applyFill="1" applyBorder="1" applyAlignment="1">
      <alignment horizontal="center" vertical="center" wrapText="1" readingOrder="1"/>
    </xf>
    <xf numFmtId="10" fontId="38" fillId="49" borderId="1" xfId="0" applyNumberFormat="1" applyFont="1" applyFill="1" applyBorder="1" applyAlignment="1">
      <alignment horizontal="center" vertical="center" wrapText="1" readingOrder="1"/>
    </xf>
    <xf numFmtId="10" fontId="38" fillId="51" borderId="1" xfId="0" applyNumberFormat="1" applyFont="1" applyFill="1" applyBorder="1" applyAlignment="1">
      <alignment horizontal="center" vertical="center" wrapText="1" readingOrder="1"/>
    </xf>
    <xf numFmtId="10" fontId="38" fillId="52" borderId="1" xfId="0" applyNumberFormat="1" applyFont="1" applyFill="1" applyBorder="1" applyAlignment="1">
      <alignment horizontal="center" vertical="center" wrapText="1" readingOrder="1"/>
    </xf>
    <xf numFmtId="10" fontId="38" fillId="53" borderId="1" xfId="0" applyNumberFormat="1" applyFont="1" applyFill="1" applyBorder="1" applyAlignment="1">
      <alignment horizontal="center" vertical="center" wrapText="1" readingOrder="1"/>
    </xf>
    <xf numFmtId="10" fontId="38" fillId="55" borderId="1" xfId="0" applyNumberFormat="1" applyFont="1" applyFill="1" applyBorder="1" applyAlignment="1">
      <alignment horizontal="center" vertical="center" wrapText="1" readingOrder="1"/>
    </xf>
    <xf numFmtId="10" fontId="38" fillId="56" borderId="1" xfId="0" applyNumberFormat="1" applyFont="1" applyFill="1" applyBorder="1" applyAlignment="1">
      <alignment horizontal="center" vertical="center" wrapText="1" readingOrder="1"/>
    </xf>
    <xf numFmtId="10" fontId="38" fillId="58" borderId="1" xfId="0" applyNumberFormat="1" applyFont="1" applyFill="1" applyBorder="1" applyAlignment="1">
      <alignment horizontal="center" vertical="center" wrapText="1" readingOrder="1"/>
    </xf>
    <xf numFmtId="10" fontId="38" fillId="61" borderId="1" xfId="0" applyNumberFormat="1" applyFont="1" applyFill="1" applyBorder="1" applyAlignment="1">
      <alignment horizontal="center" vertical="center" wrapText="1" readingOrder="1"/>
    </xf>
    <xf numFmtId="10" fontId="38" fillId="66" borderId="1" xfId="0" applyNumberFormat="1" applyFont="1" applyFill="1" applyBorder="1" applyAlignment="1">
      <alignment horizontal="center" vertical="center" wrapText="1" readingOrder="1"/>
    </xf>
    <xf numFmtId="10" fontId="38" fillId="69" borderId="1" xfId="0" applyNumberFormat="1" applyFont="1" applyFill="1" applyBorder="1" applyAlignment="1">
      <alignment horizontal="center" vertical="center" wrapText="1" readingOrder="1"/>
    </xf>
    <xf numFmtId="10" fontId="38" fillId="59" borderId="1" xfId="0" applyNumberFormat="1" applyFont="1" applyFill="1" applyBorder="1" applyAlignment="1">
      <alignment horizontal="center" vertical="center" wrapText="1" readingOrder="1"/>
    </xf>
    <xf numFmtId="10" fontId="38" fillId="60" borderId="1" xfId="0" applyNumberFormat="1" applyFont="1" applyFill="1" applyBorder="1" applyAlignment="1">
      <alignment horizontal="center" vertical="center" wrapText="1" readingOrder="1"/>
    </xf>
    <xf numFmtId="10" fontId="38" fillId="30" borderId="1" xfId="0" applyNumberFormat="1" applyFont="1" applyFill="1" applyBorder="1" applyAlignment="1">
      <alignment horizontal="center" vertical="center" wrapText="1" readingOrder="1"/>
    </xf>
    <xf numFmtId="10" fontId="38" fillId="70" borderId="1" xfId="0" applyNumberFormat="1" applyFont="1" applyFill="1" applyBorder="1" applyAlignment="1">
      <alignment horizontal="center" vertical="center" wrapText="1" readingOrder="1"/>
    </xf>
    <xf numFmtId="10" fontId="38" fillId="71" borderId="1" xfId="0" applyNumberFormat="1" applyFont="1" applyFill="1" applyBorder="1" applyAlignment="1">
      <alignment horizontal="center" vertical="center" wrapText="1" readingOrder="1"/>
    </xf>
    <xf numFmtId="10" fontId="38" fillId="72" borderId="1" xfId="0" applyNumberFormat="1" applyFont="1" applyFill="1" applyBorder="1" applyAlignment="1">
      <alignment horizontal="center" vertical="center" wrapText="1" readingOrder="1"/>
    </xf>
    <xf numFmtId="10" fontId="38" fillId="73" borderId="1" xfId="0" applyNumberFormat="1" applyFont="1" applyFill="1" applyBorder="1" applyAlignment="1">
      <alignment horizontal="center" vertical="center" wrapText="1" readingOrder="1"/>
    </xf>
    <xf numFmtId="10" fontId="38" fillId="74" borderId="1" xfId="0" applyNumberFormat="1" applyFont="1" applyFill="1" applyBorder="1" applyAlignment="1">
      <alignment horizontal="center" vertical="center" wrapText="1" readingOrder="1"/>
    </xf>
    <xf numFmtId="10" fontId="38" fillId="75" borderId="1" xfId="0" applyNumberFormat="1" applyFont="1" applyFill="1" applyBorder="1" applyAlignment="1">
      <alignment horizontal="center" vertical="center" wrapText="1" readingOrder="1"/>
    </xf>
    <xf numFmtId="10" fontId="38" fillId="50" borderId="1" xfId="0" applyNumberFormat="1" applyFont="1" applyFill="1" applyBorder="1" applyAlignment="1">
      <alignment horizontal="center" vertical="center" wrapText="1" readingOrder="1"/>
    </xf>
    <xf numFmtId="10" fontId="38" fillId="68" borderId="1" xfId="0" applyNumberFormat="1" applyFont="1" applyFill="1" applyBorder="1" applyAlignment="1">
      <alignment horizontal="center" vertical="center" wrapText="1" readingOrder="1"/>
    </xf>
    <xf numFmtId="10" fontId="38" fillId="76" borderId="1" xfId="0" applyNumberFormat="1" applyFont="1" applyFill="1" applyBorder="1" applyAlignment="1">
      <alignment horizontal="center" vertical="center" wrapText="1" readingOrder="1"/>
    </xf>
    <xf numFmtId="10" fontId="38" fillId="77" borderId="1" xfId="0" applyNumberFormat="1" applyFont="1" applyFill="1" applyBorder="1" applyAlignment="1">
      <alignment horizontal="center" vertical="center" wrapText="1" readingOrder="1"/>
    </xf>
    <xf numFmtId="10" fontId="38" fillId="62" borderId="1" xfId="0" applyNumberFormat="1" applyFont="1" applyFill="1" applyBorder="1" applyAlignment="1">
      <alignment horizontal="center" vertical="center" wrapText="1" readingOrder="1"/>
    </xf>
    <xf numFmtId="10" fontId="38" fillId="54" borderId="1" xfId="0" applyNumberFormat="1" applyFont="1" applyFill="1" applyBorder="1" applyAlignment="1">
      <alignment horizontal="center" vertical="center" wrapText="1" readingOrder="1"/>
    </xf>
    <xf numFmtId="10" fontId="38" fillId="67" borderId="1" xfId="0" applyNumberFormat="1" applyFont="1" applyFill="1" applyBorder="1" applyAlignment="1">
      <alignment horizontal="center" vertical="center" wrapText="1" readingOrder="1"/>
    </xf>
    <xf numFmtId="10" fontId="38" fillId="78" borderId="1" xfId="0" applyNumberFormat="1" applyFont="1" applyFill="1" applyBorder="1" applyAlignment="1">
      <alignment horizontal="center" vertical="center" wrapText="1" readingOrder="1"/>
    </xf>
    <xf numFmtId="10" fontId="38" fillId="79" borderId="1" xfId="0" applyNumberFormat="1" applyFont="1" applyFill="1" applyBorder="1" applyAlignment="1">
      <alignment horizontal="center" vertical="center" wrapText="1" readingOrder="1"/>
    </xf>
    <xf numFmtId="10" fontId="38" fillId="80" borderId="1" xfId="0" applyNumberFormat="1" applyFont="1" applyFill="1" applyBorder="1" applyAlignment="1">
      <alignment horizontal="center" vertical="center" wrapText="1" readingOrder="1"/>
    </xf>
    <xf numFmtId="10" fontId="38" fillId="65" borderId="1" xfId="0" applyNumberFormat="1" applyFont="1" applyFill="1" applyBorder="1" applyAlignment="1">
      <alignment horizontal="center" vertical="center" wrapText="1" readingOrder="1"/>
    </xf>
    <xf numFmtId="10" fontId="38" fillId="81" borderId="1" xfId="0" applyNumberFormat="1" applyFont="1" applyFill="1" applyBorder="1" applyAlignment="1">
      <alignment horizontal="center" vertical="center" wrapText="1" readingOrder="1"/>
    </xf>
    <xf numFmtId="10" fontId="38" fillId="82" borderId="1" xfId="0" applyNumberFormat="1" applyFont="1" applyFill="1" applyBorder="1" applyAlignment="1">
      <alignment horizontal="center" vertical="center" wrapText="1" readingOrder="1"/>
    </xf>
    <xf numFmtId="10" fontId="38" fillId="83" borderId="1" xfId="0" applyNumberFormat="1" applyFont="1" applyFill="1" applyBorder="1" applyAlignment="1">
      <alignment horizontal="center" vertical="center" wrapText="1" readingOrder="1"/>
    </xf>
    <xf numFmtId="10" fontId="38" fillId="84" borderId="1" xfId="0" applyNumberFormat="1" applyFont="1" applyFill="1" applyBorder="1" applyAlignment="1">
      <alignment horizontal="center" vertical="center" wrapText="1" readingOrder="1"/>
    </xf>
    <xf numFmtId="10" fontId="38" fillId="85" borderId="1" xfId="0" applyNumberFormat="1" applyFont="1" applyFill="1" applyBorder="1" applyAlignment="1">
      <alignment horizontal="center" vertical="center" wrapText="1" readingOrder="1"/>
    </xf>
    <xf numFmtId="10" fontId="38" fillId="86" borderId="1" xfId="0" applyNumberFormat="1" applyFont="1" applyFill="1" applyBorder="1" applyAlignment="1">
      <alignment horizontal="center" vertical="center" wrapText="1" readingOrder="1"/>
    </xf>
    <xf numFmtId="10" fontId="38" fillId="87" borderId="1" xfId="0" applyNumberFormat="1" applyFont="1" applyFill="1" applyBorder="1" applyAlignment="1">
      <alignment horizontal="center" vertical="center" wrapText="1" readingOrder="1"/>
    </xf>
    <xf numFmtId="10" fontId="38" fillId="88" borderId="1" xfId="0" applyNumberFormat="1" applyFont="1" applyFill="1" applyBorder="1" applyAlignment="1">
      <alignment horizontal="center" vertical="center" wrapText="1" readingOrder="1"/>
    </xf>
    <xf numFmtId="10" fontId="38" fillId="63" borderId="1" xfId="0" applyNumberFormat="1" applyFont="1" applyFill="1" applyBorder="1" applyAlignment="1">
      <alignment horizontal="center" vertical="center" wrapText="1" readingOrder="1"/>
    </xf>
    <xf numFmtId="10" fontId="38" fillId="89" borderId="1" xfId="0" applyNumberFormat="1" applyFont="1" applyFill="1" applyBorder="1" applyAlignment="1">
      <alignment horizontal="center" vertical="center" wrapText="1" readingOrder="1"/>
    </xf>
    <xf numFmtId="10" fontId="38" fillId="90" borderId="1" xfId="0" applyNumberFormat="1" applyFont="1" applyFill="1" applyBorder="1" applyAlignment="1">
      <alignment horizontal="center" vertical="center" wrapText="1" readingOrder="1"/>
    </xf>
    <xf numFmtId="10" fontId="38" fillId="91" borderId="1" xfId="0" applyNumberFormat="1" applyFont="1" applyFill="1" applyBorder="1" applyAlignment="1">
      <alignment horizontal="center" vertical="center" wrapText="1" readingOrder="1"/>
    </xf>
    <xf numFmtId="10" fontId="38" fillId="64" borderId="1" xfId="0" applyNumberFormat="1" applyFont="1" applyFill="1" applyBorder="1" applyAlignment="1">
      <alignment horizontal="center" vertical="center" wrapText="1" readingOrder="1"/>
    </xf>
    <xf numFmtId="10" fontId="38" fillId="33" borderId="1" xfId="0" applyNumberFormat="1" applyFont="1" applyFill="1" applyBorder="1" applyAlignment="1">
      <alignment horizontal="center" vertical="center" wrapText="1" readingOrder="1"/>
    </xf>
    <xf numFmtId="10" fontId="38" fillId="92" borderId="1" xfId="0" applyNumberFormat="1" applyFont="1" applyFill="1" applyBorder="1" applyAlignment="1">
      <alignment horizontal="center" vertical="center" wrapText="1" readingOrder="1"/>
    </xf>
    <xf numFmtId="10" fontId="38" fillId="93" borderId="1" xfId="0" applyNumberFormat="1" applyFont="1" applyFill="1" applyBorder="1" applyAlignment="1">
      <alignment horizontal="center" vertical="center" wrapText="1" readingOrder="1"/>
    </xf>
    <xf numFmtId="10" fontId="38" fillId="94" borderId="1" xfId="0" applyNumberFormat="1" applyFont="1" applyFill="1" applyBorder="1" applyAlignment="1">
      <alignment horizontal="center" vertical="center" wrapText="1" readingOrder="1"/>
    </xf>
    <xf numFmtId="10" fontId="38" fillId="95" borderId="1" xfId="0" applyNumberFormat="1" applyFont="1" applyFill="1" applyBorder="1" applyAlignment="1">
      <alignment horizontal="center" vertical="center" wrapText="1" readingOrder="1"/>
    </xf>
    <xf numFmtId="10" fontId="38" fillId="96" borderId="1" xfId="0" applyNumberFormat="1" applyFont="1" applyFill="1" applyBorder="1" applyAlignment="1">
      <alignment horizontal="center" vertical="center" wrapText="1" readingOrder="1"/>
    </xf>
    <xf numFmtId="10" fontId="38" fillId="97" borderId="1" xfId="0" applyNumberFormat="1" applyFont="1" applyFill="1" applyBorder="1" applyAlignment="1">
      <alignment horizontal="center" vertical="center" wrapText="1" readingOrder="1"/>
    </xf>
    <xf numFmtId="10" fontId="38" fillId="98" borderId="1" xfId="0" applyNumberFormat="1" applyFont="1" applyFill="1" applyBorder="1" applyAlignment="1">
      <alignment horizontal="center" vertical="center" wrapText="1" readingOrder="1"/>
    </xf>
    <xf numFmtId="10" fontId="38" fillId="99" borderId="1" xfId="0" applyNumberFormat="1" applyFont="1" applyFill="1" applyBorder="1" applyAlignment="1">
      <alignment horizontal="center" vertical="center" wrapText="1" readingOrder="1"/>
    </xf>
    <xf numFmtId="10" fontId="38" fillId="100" borderId="1" xfId="0" applyNumberFormat="1" applyFont="1" applyFill="1" applyBorder="1" applyAlignment="1">
      <alignment horizontal="center" vertical="center" wrapText="1" readingOrder="1"/>
    </xf>
    <xf numFmtId="10" fontId="38" fillId="101" borderId="1" xfId="0" applyNumberFormat="1" applyFont="1" applyFill="1" applyBorder="1" applyAlignment="1">
      <alignment horizontal="center" vertical="center" wrapText="1" readingOrder="1"/>
    </xf>
    <xf numFmtId="10" fontId="38" fillId="31" borderId="1" xfId="0" applyNumberFormat="1" applyFont="1" applyFill="1" applyBorder="1" applyAlignment="1">
      <alignment horizontal="center" vertical="center" wrapText="1" readingOrder="1"/>
    </xf>
    <xf numFmtId="10" fontId="38" fillId="57" borderId="1" xfId="0" applyNumberFormat="1" applyFont="1" applyFill="1" applyBorder="1" applyAlignment="1">
      <alignment horizontal="center" vertical="center" wrapText="1" readingOrder="1"/>
    </xf>
    <xf numFmtId="10" fontId="38" fillId="102" borderId="1" xfId="0" applyNumberFormat="1" applyFont="1" applyFill="1" applyBorder="1" applyAlignment="1">
      <alignment horizontal="center" vertical="center" wrapText="1" readingOrder="1"/>
    </xf>
    <xf numFmtId="10" fontId="38" fillId="32" borderId="1" xfId="0" applyNumberFormat="1" applyFont="1" applyFill="1" applyBorder="1" applyAlignment="1">
      <alignment horizontal="center" vertical="center" wrapText="1" readingOrder="1"/>
    </xf>
    <xf numFmtId="0" fontId="38" fillId="0" borderId="85" xfId="0" applyFont="1" applyBorder="1" applyAlignment="1">
      <alignment horizontal="center" wrapText="1" readingOrder="1"/>
    </xf>
    <xf numFmtId="10" fontId="38" fillId="47" borderId="85" xfId="0" applyNumberFormat="1" applyFont="1" applyFill="1" applyBorder="1" applyAlignment="1">
      <alignment horizontal="center" vertical="center" wrapText="1" readingOrder="1"/>
    </xf>
    <xf numFmtId="0" fontId="38" fillId="0" borderId="85" xfId="0" applyFont="1" applyBorder="1" applyAlignment="1">
      <alignment horizontal="center" vertical="center" wrapText="1" readingOrder="1"/>
    </xf>
    <xf numFmtId="0" fontId="37" fillId="24" borderId="87" xfId="0" applyFont="1" applyFill="1" applyBorder="1" applyAlignment="1">
      <alignment horizontal="center" vertical="center" wrapText="1" readingOrder="1"/>
    </xf>
    <xf numFmtId="0" fontId="38" fillId="0" borderId="88" xfId="0" applyFont="1" applyBorder="1" applyAlignment="1">
      <alignment horizontal="center" vertical="center" wrapText="1" readingOrder="1"/>
    </xf>
    <xf numFmtId="0" fontId="38" fillId="0" borderId="89" xfId="0" applyFont="1" applyBorder="1" applyAlignment="1">
      <alignment horizontal="center" vertical="center" wrapText="1" readingOrder="1"/>
    </xf>
    <xf numFmtId="0" fontId="40" fillId="0" borderId="93" xfId="0" applyFont="1" applyBorder="1" applyAlignment="1">
      <alignment horizontal="center" wrapText="1" readingOrder="1"/>
    </xf>
    <xf numFmtId="10" fontId="36" fillId="104" borderId="93" xfId="0" applyNumberFormat="1" applyFont="1" applyFill="1" applyBorder="1" applyAlignment="1">
      <alignment horizontal="center" wrapText="1" readingOrder="1"/>
    </xf>
    <xf numFmtId="10" fontId="36" fillId="0" borderId="93" xfId="0" applyNumberFormat="1" applyFont="1" applyBorder="1" applyAlignment="1">
      <alignment horizontal="center" wrapText="1" readingOrder="1"/>
    </xf>
    <xf numFmtId="0" fontId="40" fillId="0" borderId="94" xfId="0" applyFont="1" applyBorder="1" applyAlignment="1">
      <alignment horizontal="center" wrapText="1" readingOrder="1"/>
    </xf>
    <xf numFmtId="0" fontId="40" fillId="0" borderId="98" xfId="0" applyFont="1" applyBorder="1" applyAlignment="1">
      <alignment horizontal="center" wrapText="1" readingOrder="1"/>
    </xf>
    <xf numFmtId="0" fontId="40" fillId="0" borderId="99" xfId="0" applyFont="1" applyBorder="1" applyAlignment="1">
      <alignment horizontal="center" wrapText="1" readingOrder="1"/>
    </xf>
    <xf numFmtId="0" fontId="40" fillId="0" borderId="100" xfId="0" applyFont="1" applyBorder="1" applyAlignment="1">
      <alignment horizontal="center" wrapText="1" readingOrder="1"/>
    </xf>
    <xf numFmtId="10" fontId="36" fillId="0" borderId="99" xfId="0" applyNumberFormat="1" applyFont="1" applyBorder="1" applyAlignment="1">
      <alignment horizontal="center" wrapText="1" readingOrder="1"/>
    </xf>
    <xf numFmtId="0" fontId="40" fillId="0" borderId="101" xfId="0" applyFont="1" applyBorder="1" applyAlignment="1">
      <alignment horizontal="center" wrapText="1" readingOrder="1"/>
    </xf>
    <xf numFmtId="10" fontId="36" fillId="0" borderId="102" xfId="0" applyNumberFormat="1" applyFont="1" applyBorder="1" applyAlignment="1">
      <alignment horizontal="center" wrapText="1" readingOrder="1"/>
    </xf>
    <xf numFmtId="10" fontId="36" fillId="0" borderId="103" xfId="0" applyNumberFormat="1" applyFont="1" applyBorder="1" applyAlignment="1">
      <alignment horizontal="center" wrapText="1" readingOrder="1"/>
    </xf>
    <xf numFmtId="0" fontId="42" fillId="0" borderId="11" xfId="0" applyFont="1" applyBorder="1" applyAlignment="1">
      <alignment horizontal="center" wrapText="1" readingOrder="1"/>
    </xf>
    <xf numFmtId="0" fontId="40" fillId="0" borderId="104" xfId="0" applyFont="1" applyBorder="1" applyAlignment="1">
      <alignment horizontal="center" wrapText="1" readingOrder="1"/>
    </xf>
    <xf numFmtId="0" fontId="40" fillId="0" borderId="105" xfId="0" applyFont="1" applyBorder="1" applyAlignment="1">
      <alignment horizontal="center" wrapText="1" readingOrder="1"/>
    </xf>
    <xf numFmtId="0" fontId="40" fillId="0" borderId="106" xfId="0" applyFont="1" applyBorder="1" applyAlignment="1">
      <alignment horizontal="center" wrapText="1" readingOrder="1"/>
    </xf>
    <xf numFmtId="0" fontId="41" fillId="0" borderId="107" xfId="0" applyFont="1" applyBorder="1" applyAlignment="1">
      <alignment horizontal="center" wrapText="1" readingOrder="1"/>
    </xf>
    <xf numFmtId="0" fontId="41" fillId="0" borderId="109" xfId="0" applyFont="1" applyBorder="1" applyAlignment="1">
      <alignment horizontal="center" wrapText="1" readingOrder="1"/>
    </xf>
    <xf numFmtId="0" fontId="42" fillId="0" borderId="110" xfId="0" applyFont="1" applyBorder="1" applyAlignment="1">
      <alignment horizontal="center" wrapText="1" readingOrder="1"/>
    </xf>
    <xf numFmtId="0" fontId="0" fillId="0" borderId="108" xfId="0" applyBorder="1"/>
    <xf numFmtId="0" fontId="0" fillId="0" borderId="110" xfId="0" applyBorder="1"/>
    <xf numFmtId="0" fontId="0" fillId="0" borderId="111" xfId="0" applyBorder="1"/>
    <xf numFmtId="0" fontId="36" fillId="0" borderId="11" xfId="0" applyFont="1" applyBorder="1" applyAlignment="1">
      <alignment horizontal="center" wrapText="1" readingOrder="1"/>
    </xf>
    <xf numFmtId="0" fontId="34" fillId="24" borderId="104" xfId="0" applyFont="1" applyFill="1" applyBorder="1" applyAlignment="1">
      <alignment horizontal="center" wrapText="1" readingOrder="1"/>
    </xf>
    <xf numFmtId="0" fontId="34" fillId="24" borderId="105" xfId="0" applyFont="1" applyFill="1" applyBorder="1" applyAlignment="1">
      <alignment horizontal="center" wrapText="1" readingOrder="1"/>
    </xf>
    <xf numFmtId="0" fontId="34" fillId="24" borderId="106" xfId="0" applyFont="1" applyFill="1" applyBorder="1" applyAlignment="1">
      <alignment horizontal="center" wrapText="1" readingOrder="1"/>
    </xf>
    <xf numFmtId="0" fontId="36" fillId="0" borderId="107" xfId="0" applyFont="1" applyBorder="1" applyAlignment="1">
      <alignment horizontal="center" wrapText="1" readingOrder="1"/>
    </xf>
    <xf numFmtId="0" fontId="36" fillId="0" borderId="108" xfId="0" applyFont="1" applyBorder="1" applyAlignment="1">
      <alignment horizontal="center" wrapText="1" readingOrder="1"/>
    </xf>
    <xf numFmtId="0" fontId="34" fillId="24" borderId="109" xfId="0" applyFont="1" applyFill="1" applyBorder="1" applyAlignment="1">
      <alignment horizontal="center" wrapText="1" readingOrder="1"/>
    </xf>
    <xf numFmtId="0" fontId="34" fillId="24" borderId="110" xfId="0" applyFont="1" applyFill="1" applyBorder="1" applyAlignment="1">
      <alignment horizontal="center" wrapText="1" readingOrder="1"/>
    </xf>
    <xf numFmtId="0" fontId="34" fillId="24" borderId="111" xfId="0" applyFont="1" applyFill="1" applyBorder="1" applyAlignment="1">
      <alignment horizontal="center" wrapText="1" readingOrder="1"/>
    </xf>
    <xf numFmtId="2" fontId="6" fillId="0" borderId="1" xfId="0" applyNumberFormat="1" applyFont="1" applyBorder="1" applyAlignment="1">
      <alignment horizontal="center" wrapText="1" readingOrder="1"/>
    </xf>
    <xf numFmtId="165" fontId="6" fillId="0" borderId="1" xfId="2" applyNumberFormat="1" applyFont="1" applyBorder="1" applyAlignment="1">
      <alignment horizontal="center" wrapText="1" readingOrder="1"/>
    </xf>
    <xf numFmtId="0" fontId="15" fillId="12" borderId="11" xfId="0" applyFont="1" applyFill="1" applyBorder="1" applyAlignment="1">
      <alignment horizontal="left"/>
    </xf>
    <xf numFmtId="0" fontId="15" fillId="13" borderId="11" xfId="0" applyFont="1" applyFill="1" applyBorder="1" applyAlignment="1">
      <alignment horizontal="left"/>
    </xf>
    <xf numFmtId="0" fontId="15" fillId="14" borderId="11" xfId="0" applyFont="1" applyFill="1" applyBorder="1" applyAlignment="1">
      <alignment horizontal="left"/>
    </xf>
    <xf numFmtId="0" fontId="15" fillId="15" borderId="11" xfId="0" applyFont="1" applyFill="1" applyBorder="1" applyAlignment="1">
      <alignment horizontal="left"/>
    </xf>
    <xf numFmtId="0" fontId="15" fillId="6" borderId="11" xfId="0" applyFont="1" applyFill="1" applyBorder="1" applyAlignment="1">
      <alignment horizontal="left"/>
    </xf>
    <xf numFmtId="0" fontId="15" fillId="16" borderId="11" xfId="0" applyFont="1" applyFill="1" applyBorder="1" applyAlignment="1">
      <alignment horizontal="left"/>
    </xf>
    <xf numFmtId="0" fontId="6" fillId="0" borderId="88" xfId="0" applyFont="1" applyBorder="1" applyAlignment="1">
      <alignment horizontal="left" wrapText="1" readingOrder="1"/>
    </xf>
    <xf numFmtId="0" fontId="43" fillId="0" borderId="0" xfId="0" applyFont="1" applyAlignment="1">
      <alignment horizontal="left" vertical="center" readingOrder="1"/>
    </xf>
    <xf numFmtId="0" fontId="2" fillId="103" borderId="11" xfId="0" applyFont="1" applyFill="1" applyBorder="1" applyAlignment="1">
      <alignment horizontal="left"/>
    </xf>
    <xf numFmtId="17" fontId="2" fillId="103" borderId="11" xfId="0" applyNumberFormat="1" applyFont="1" applyFill="1" applyBorder="1" applyAlignment="1">
      <alignment horizontal="center"/>
    </xf>
    <xf numFmtId="0" fontId="3" fillId="0" borderId="11" xfId="0" applyFont="1" applyBorder="1" applyAlignment="1">
      <alignment wrapText="1"/>
    </xf>
    <xf numFmtId="10" fontId="0" fillId="0" borderId="11" xfId="0" applyNumberFormat="1" applyBorder="1" applyAlignment="1">
      <alignment horizontal="center" vertical="center"/>
    </xf>
    <xf numFmtId="0" fontId="44" fillId="0" borderId="0" xfId="0" applyFont="1" applyAlignment="1">
      <alignment horizontal="left" vertical="center" readingOrder="1"/>
    </xf>
    <xf numFmtId="0" fontId="6" fillId="0" borderId="1" xfId="0" quotePrefix="1" applyFont="1" applyBorder="1" applyAlignment="1">
      <alignment horizontal="left" wrapText="1" indent="1" readingOrder="1"/>
    </xf>
    <xf numFmtId="0" fontId="5" fillId="5" borderId="112" xfId="0" applyFont="1" applyFill="1" applyBorder="1" applyAlignment="1">
      <alignment horizontal="left" wrapText="1" readingOrder="1"/>
    </xf>
    <xf numFmtId="0" fontId="15" fillId="12" borderId="11" xfId="0" applyFont="1" applyFill="1" applyBorder="1" applyAlignment="1">
      <alignment horizontal="left" wrapText="1"/>
    </xf>
    <xf numFmtId="167" fontId="17" fillId="17" borderId="11" xfId="0" applyNumberFormat="1" applyFont="1" applyFill="1" applyBorder="1" applyAlignment="1">
      <alignment horizontal="left" vertical="center"/>
    </xf>
    <xf numFmtId="0" fontId="0" fillId="0" borderId="115" xfId="0" applyBorder="1"/>
    <xf numFmtId="0" fontId="0" fillId="105" borderId="115" xfId="0" applyFill="1" applyBorder="1" applyAlignment="1">
      <alignment horizontal="center" vertical="center" textRotation="90"/>
    </xf>
    <xf numFmtId="0" fontId="0" fillId="5" borderId="115" xfId="0" applyFill="1" applyBorder="1" applyAlignment="1">
      <alignment horizontal="center" vertical="center" textRotation="90"/>
    </xf>
    <xf numFmtId="0" fontId="0" fillId="106" borderId="115" xfId="0" applyFill="1" applyBorder="1" applyAlignment="1">
      <alignment horizontal="center" vertical="center" textRotation="90"/>
    </xf>
    <xf numFmtId="0" fontId="0" fillId="107" borderId="115" xfId="0" applyFill="1" applyBorder="1" applyAlignment="1">
      <alignment horizontal="center" vertical="center" textRotation="90"/>
    </xf>
    <xf numFmtId="0" fontId="0" fillId="10" borderId="115" xfId="0" applyFill="1" applyBorder="1" applyAlignment="1">
      <alignment horizontal="center" vertical="center" textRotation="90"/>
    </xf>
    <xf numFmtId="0" fontId="0" fillId="108" borderId="115" xfId="0" applyFill="1" applyBorder="1" applyAlignment="1">
      <alignment horizontal="center" vertical="center" textRotation="90"/>
    </xf>
    <xf numFmtId="0" fontId="0" fillId="109" borderId="115" xfId="0" applyFill="1" applyBorder="1" applyAlignment="1">
      <alignment horizontal="center" vertical="center"/>
    </xf>
    <xf numFmtId="0" fontId="0" fillId="109" borderId="115" xfId="0" applyFill="1" applyBorder="1" applyAlignment="1">
      <alignment horizontal="center" vertical="center" wrapText="1"/>
    </xf>
    <xf numFmtId="9" fontId="0" fillId="0" borderId="115" xfId="2" applyFont="1" applyBorder="1"/>
    <xf numFmtId="9" fontId="0" fillId="0" borderId="115" xfId="0" applyNumberFormat="1" applyBorder="1"/>
    <xf numFmtId="0" fontId="5" fillId="0" borderId="11" xfId="0" applyFont="1" applyBorder="1" applyAlignment="1">
      <alignment horizontal="left" vertical="center" wrapText="1" readingOrder="1"/>
    </xf>
    <xf numFmtId="0" fontId="0" fillId="0" borderId="44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46" xfId="0" applyBorder="1" applyAlignment="1">
      <alignment horizontal="left" vertical="top" wrapText="1"/>
    </xf>
    <xf numFmtId="0" fontId="0" fillId="0" borderId="4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48" xfId="0" applyBorder="1" applyAlignment="1">
      <alignment horizontal="left" vertical="top" wrapText="1"/>
    </xf>
    <xf numFmtId="0" fontId="0" fillId="0" borderId="49" xfId="0" applyBorder="1" applyAlignment="1">
      <alignment horizontal="left" vertical="top" wrapText="1"/>
    </xf>
    <xf numFmtId="0" fontId="0" fillId="0" borderId="50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 readingOrder="1"/>
    </xf>
    <xf numFmtId="0" fontId="5" fillId="0" borderId="4" xfId="0" applyFont="1" applyBorder="1" applyAlignment="1">
      <alignment horizontal="left" vertical="center" wrapText="1" readingOrder="1"/>
    </xf>
    <xf numFmtId="0" fontId="5" fillId="0" borderId="2" xfId="0" applyFont="1" applyBorder="1" applyAlignment="1">
      <alignment horizontal="left" vertical="center" wrapText="1" readingOrder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5" borderId="11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0" borderId="114" xfId="0" applyFont="1" applyBorder="1" applyAlignment="1">
      <alignment horizontal="left" vertical="center" wrapText="1" readingOrder="1"/>
    </xf>
    <xf numFmtId="0" fontId="5" fillId="0" borderId="113" xfId="0" applyFont="1" applyBorder="1" applyAlignment="1">
      <alignment horizontal="left" vertical="center" wrapText="1" readingOrder="1"/>
    </xf>
    <xf numFmtId="0" fontId="5" fillId="0" borderId="14" xfId="0" applyFont="1" applyBorder="1" applyAlignment="1">
      <alignment horizontal="left" vertical="center" wrapText="1" readingOrder="1"/>
    </xf>
    <xf numFmtId="0" fontId="5" fillId="0" borderId="112" xfId="0" applyFont="1" applyBorder="1" applyAlignment="1">
      <alignment horizontal="left" vertical="center" wrapText="1" readingOrder="1"/>
    </xf>
    <xf numFmtId="0" fontId="5" fillId="0" borderId="113" xfId="0" applyFont="1" applyBorder="1" applyAlignment="1">
      <alignment vertical="center" wrapText="1" readingOrder="1"/>
    </xf>
    <xf numFmtId="0" fontId="5" fillId="0" borderId="14" xfId="0" applyFont="1" applyBorder="1" applyAlignment="1">
      <alignment vertical="center" wrapText="1" readingOrder="1"/>
    </xf>
    <xf numFmtId="0" fontId="5" fillId="0" borderId="112" xfId="0" applyFont="1" applyBorder="1" applyAlignment="1">
      <alignment vertical="center" wrapText="1" readingOrder="1"/>
    </xf>
    <xf numFmtId="0" fontId="5" fillId="0" borderId="11" xfId="0" applyFont="1" applyBorder="1" applyAlignment="1">
      <alignment vertical="center" wrapText="1" readingOrder="1"/>
    </xf>
    <xf numFmtId="0" fontId="5" fillId="0" borderId="2" xfId="0" applyFont="1" applyBorder="1" applyAlignment="1">
      <alignment horizontal="left" wrapText="1" readingOrder="1"/>
    </xf>
    <xf numFmtId="0" fontId="5" fillId="0" borderId="3" xfId="0" applyFont="1" applyBorder="1" applyAlignment="1">
      <alignment horizontal="left" wrapText="1" readingOrder="1"/>
    </xf>
    <xf numFmtId="0" fontId="5" fillId="0" borderId="4" xfId="0" applyFont="1" applyBorder="1" applyAlignment="1">
      <alignment horizontal="left" wrapText="1" readingOrder="1"/>
    </xf>
    <xf numFmtId="0" fontId="5" fillId="0" borderId="43" xfId="0" applyFont="1" applyBorder="1" applyAlignment="1">
      <alignment horizontal="left"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13" fillId="7" borderId="0" xfId="0" applyFont="1" applyFill="1" applyAlignment="1">
      <alignment horizontal="center" vertical="center" textRotation="90"/>
    </xf>
    <xf numFmtId="2" fontId="9" fillId="6" borderId="24" xfId="0" applyNumberFormat="1" applyFont="1" applyFill="1" applyBorder="1" applyAlignment="1">
      <alignment horizontal="center" vertical="center" wrapText="1"/>
    </xf>
    <xf numFmtId="2" fontId="9" fillId="6" borderId="25" xfId="0" applyNumberFormat="1" applyFont="1" applyFill="1" applyBorder="1" applyAlignment="1">
      <alignment horizontal="center" vertical="center" wrapText="1"/>
    </xf>
    <xf numFmtId="2" fontId="9" fillId="6" borderId="26" xfId="0" applyNumberFormat="1" applyFont="1" applyFill="1" applyBorder="1" applyAlignment="1">
      <alignment horizontal="center" vertical="center" wrapText="1"/>
    </xf>
    <xf numFmtId="2" fontId="9" fillId="6" borderId="27" xfId="0" applyNumberFormat="1" applyFont="1" applyFill="1" applyBorder="1" applyAlignment="1">
      <alignment horizontal="center" vertical="center" wrapText="1"/>
    </xf>
    <xf numFmtId="2" fontId="11" fillId="6" borderId="26" xfId="0" applyNumberFormat="1" applyFont="1" applyFill="1" applyBorder="1" applyAlignment="1">
      <alignment horizontal="center" vertical="center" wrapText="1"/>
    </xf>
    <xf numFmtId="2" fontId="11" fillId="6" borderId="27" xfId="0" applyNumberFormat="1" applyFont="1" applyFill="1" applyBorder="1" applyAlignment="1">
      <alignment horizontal="center" vertical="center" wrapText="1"/>
    </xf>
    <xf numFmtId="2" fontId="11" fillId="6" borderId="28" xfId="0" applyNumberFormat="1" applyFont="1" applyFill="1" applyBorder="1" applyAlignment="1">
      <alignment horizontal="center" vertical="center" wrapText="1"/>
    </xf>
    <xf numFmtId="49" fontId="27" fillId="7" borderId="0" xfId="0" applyNumberFormat="1" applyFont="1" applyFill="1" applyAlignment="1">
      <alignment horizontal="center" vertical="center" textRotation="90"/>
    </xf>
    <xf numFmtId="0" fontId="28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center" vertical="center" wrapText="1"/>
    </xf>
    <xf numFmtId="2" fontId="28" fillId="6" borderId="52" xfId="0" applyNumberFormat="1" applyFont="1" applyFill="1" applyBorder="1" applyAlignment="1">
      <alignment horizontal="center" vertical="center" wrapText="1"/>
    </xf>
    <xf numFmtId="3" fontId="28" fillId="6" borderId="52" xfId="0" applyNumberFormat="1" applyFont="1" applyFill="1" applyBorder="1" applyAlignment="1">
      <alignment horizontal="center" vertical="center" wrapText="1"/>
    </xf>
    <xf numFmtId="0" fontId="40" fillId="0" borderId="95" xfId="0" applyFont="1" applyBorder="1" applyAlignment="1">
      <alignment horizontal="center" wrapText="1" readingOrder="1"/>
    </xf>
    <xf numFmtId="0" fontId="40" fillId="0" borderId="96" xfId="0" applyFont="1" applyBorder="1" applyAlignment="1">
      <alignment horizontal="center" wrapText="1" readingOrder="1"/>
    </xf>
    <xf numFmtId="0" fontId="40" fillId="0" borderId="97" xfId="0" applyFont="1" applyBorder="1" applyAlignment="1">
      <alignment horizontal="center" wrapText="1" readingOrder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4" fillId="21" borderId="68" xfId="0" applyFont="1" applyFill="1" applyBorder="1" applyAlignment="1">
      <alignment horizontal="center" wrapText="1" readingOrder="1"/>
    </xf>
    <xf numFmtId="0" fontId="34" fillId="21" borderId="69" xfId="0" applyFont="1" applyFill="1" applyBorder="1" applyAlignment="1">
      <alignment horizontal="center" wrapText="1" readingOrder="1"/>
    </xf>
    <xf numFmtId="0" fontId="34" fillId="21" borderId="70" xfId="0" applyFont="1" applyFill="1" applyBorder="1" applyAlignment="1">
      <alignment horizontal="center" wrapText="1" readingOrder="1"/>
    </xf>
    <xf numFmtId="0" fontId="34" fillId="0" borderId="67" xfId="0" applyFont="1" applyBorder="1" applyAlignment="1">
      <alignment horizontal="center" wrapText="1" readingOrder="1"/>
    </xf>
    <xf numFmtId="0" fontId="2" fillId="103" borderId="86" xfId="0" applyFont="1" applyFill="1" applyBorder="1" applyAlignment="1">
      <alignment horizontal="center"/>
    </xf>
    <xf numFmtId="0" fontId="39" fillId="0" borderId="90" xfId="0" applyFont="1" applyBorder="1" applyAlignment="1">
      <alignment horizontal="center" vertical="center" textRotation="90"/>
    </xf>
    <xf numFmtId="0" fontId="39" fillId="0" borderId="91" xfId="0" applyFont="1" applyBorder="1" applyAlignment="1">
      <alignment horizontal="center" vertical="center" textRotation="90"/>
    </xf>
    <xf numFmtId="0" fontId="39" fillId="0" borderId="92" xfId="0" applyFont="1" applyBorder="1" applyAlignment="1">
      <alignment horizontal="center" vertical="center" textRotation="90"/>
    </xf>
  </cellXfs>
  <cellStyles count="6">
    <cellStyle name="Comma" xfId="1" builtinId="3"/>
    <cellStyle name="Normal" xfId="0" builtinId="0"/>
    <cellStyle name="Normal 2 2" xfId="5" xr:uid="{8CD5BBFF-792C-413A-97D6-4024D4C47F15}"/>
    <cellStyle name="Normal 2 2 2" xfId="3" xr:uid="{557FA33E-D2C7-4EC2-B564-A2BB687884CD}"/>
    <cellStyle name="Per cent" xfId="2" builtinId="5"/>
    <cellStyle name="Percent 2 3" xfId="4" xr:uid="{80B159D7-EADD-442E-B4CF-2CB58E2A05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(M USD)</a:t>
            </a:r>
          </a:p>
        </c:rich>
      </c:tx>
      <c:layout>
        <c:manualLayout>
          <c:xMode val="edge"/>
          <c:yMode val="edge"/>
          <c:x val="0.22944842421013162"/>
          <c:y val="6.2176165803108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'Over All Level'!$M$2</c:f>
              <c:strCache>
                <c:ptCount val="1"/>
                <c:pt idx="0">
                  <c:v>AUM (M USD)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E8-422C-BE1E-6FADD886A8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E8-422C-BE1E-6FADD886A8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C3-4C85-98C1-0BEDC98E17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C3-4C85-98C1-0BEDC98E1744}"/>
              </c:ext>
            </c:extLst>
          </c:dPt>
          <c:cat>
            <c:strRef>
              <c:f>'Over All Level'!$L$3:$L$6</c:f>
              <c:strCache>
                <c:ptCount val="4"/>
                <c:pt idx="0">
                  <c:v>Secured</c:v>
                </c:pt>
                <c:pt idx="3">
                  <c:v>Uncecured Secured</c:v>
                </c:pt>
              </c:strCache>
            </c:strRef>
          </c:cat>
          <c:val>
            <c:numRef>
              <c:f>'Over All Level'!$M$3:$M$6</c:f>
              <c:numCache>
                <c:formatCode>General</c:formatCode>
                <c:ptCount val="4"/>
                <c:pt idx="0">
                  <c:v>200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F-4437-B13A-91088FCCC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'Over All Level'!$P$1:$P$2</c:f>
              <c:strCache>
                <c:ptCount val="2"/>
                <c:pt idx="0">
                  <c:v>Product wise</c:v>
                </c:pt>
                <c:pt idx="1">
                  <c:v>AUM (M USD)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E0-4C6B-95B6-265AA7A49C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E0-4C6B-95B6-265AA7A49C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E0-4C6B-95B6-265AA7A49C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E0-4C6B-95B6-265AA7A49C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EE0-4C6B-95B6-265AA7A49C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B22-4F95-8E98-5F87D6F815D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B22-4F95-8E98-5F87D6F815D2}"/>
              </c:ext>
            </c:extLst>
          </c:dPt>
          <c:cat>
            <c:strRef>
              <c:f>'Over All Level'!$O$3:$O$9</c:f>
              <c:strCache>
                <c:ptCount val="7"/>
                <c:pt idx="0">
                  <c:v>PL</c:v>
                </c:pt>
                <c:pt idx="3">
                  <c:v>Consumer Loan</c:v>
                </c:pt>
                <c:pt idx="4">
                  <c:v>Micro finance</c:v>
                </c:pt>
                <c:pt idx="5">
                  <c:v>Housing Loan</c:v>
                </c:pt>
                <c:pt idx="6">
                  <c:v>Auto Loan</c:v>
                </c:pt>
              </c:strCache>
            </c:strRef>
          </c:cat>
          <c:val>
            <c:numRef>
              <c:f>'Over All Level'!$P$3:$P$9</c:f>
              <c:numCache>
                <c:formatCode>General</c:formatCode>
                <c:ptCount val="7"/>
                <c:pt idx="0">
                  <c:v>200</c:v>
                </c:pt>
                <c:pt idx="3">
                  <c:v>500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7-4B6F-927E-4D4EC8C3E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651499413637127"/>
          <c:y val="0.6185096586110127"/>
          <c:w val="0.75939423765211167"/>
          <c:h val="0.341741595344060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711136</xdr:colOff>
      <xdr:row>50</xdr:row>
      <xdr:rowOff>73975</xdr:rowOff>
    </xdr:from>
    <xdr:to>
      <xdr:col>1</xdr:col>
      <xdr:colOff>1071468</xdr:colOff>
      <xdr:row>51</xdr:row>
      <xdr:rowOff>58204</xdr:rowOff>
    </xdr:to>
    <xdr:sp macro="" textlink="">
      <xdr:nvSpPr>
        <xdr:cNvPr id="2" name="ee4pHeader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139886" y="5153975"/>
          <a:ext cx="360332" cy="168379"/>
        </a:xfrm>
        <a:prstGeom prst="rect">
          <a:avLst/>
        </a:prstGeom>
        <a:noFill/>
        <a:ln cap="rnd">
          <a:noFill/>
        </a:ln>
      </xdr:spPr>
      <xdr:txBody>
        <a:bodyPr wrap="square" lIns="0" tIns="0" rIns="0" bIns="0" rtlCol="0" anchor="b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3" defTabSz="555498">
            <a:defRPr/>
          </a:pPr>
          <a:r>
            <a:rPr lang="en-US" sz="1094">
              <a:solidFill>
                <a:srgbClr val="FFFFFF"/>
              </a:solidFill>
              <a:latin typeface="Trebuchet MS" panose="020B0603020202020204"/>
            </a:rPr>
            <a:t>Highs</a:t>
          </a:r>
        </a:p>
      </xdr:txBody>
    </xdr:sp>
    <xdr:clientData/>
  </xdr:twoCellAnchor>
  <xdr:twoCellAnchor>
    <xdr:from>
      <xdr:col>0</xdr:col>
      <xdr:colOff>6999</xdr:colOff>
      <xdr:row>50</xdr:row>
      <xdr:rowOff>73975</xdr:rowOff>
    </xdr:from>
    <xdr:to>
      <xdr:col>2</xdr:col>
      <xdr:colOff>501377</xdr:colOff>
      <xdr:row>63</xdr:row>
      <xdr:rowOff>20185</xdr:rowOff>
    </xdr:to>
    <xdr:sp macro="" textlink="">
      <xdr:nvSpPr>
        <xdr:cNvPr id="3" name="Google Shape;2465;p64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999" y="5153975"/>
          <a:ext cx="4190078" cy="2340160"/>
        </a:xfrm>
        <a:prstGeom prst="rect">
          <a:avLst/>
        </a:prstGeom>
        <a:noFill/>
        <a:ln w="28575" cap="flat" cmpd="sng">
          <a:solidFill>
            <a:srgbClr val="00CC9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49973" tIns="24974" rIns="49973" bIns="24974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499949">
            <a:buClr>
              <a:srgbClr val="000000"/>
            </a:buClr>
            <a:buSzPts val="1300"/>
            <a:defRPr/>
          </a:pPr>
          <a:endParaRPr sz="851" kern="0">
            <a:solidFill>
              <a:srgbClr val="FFFFFF"/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  <a:sym typeface="Arial"/>
          </a:endParaRPr>
        </a:p>
      </xdr:txBody>
    </xdr:sp>
    <xdr:clientData/>
  </xdr:twoCellAnchor>
  <xdr:twoCellAnchor>
    <xdr:from>
      <xdr:col>0</xdr:col>
      <xdr:colOff>61431</xdr:colOff>
      <xdr:row>50</xdr:row>
      <xdr:rowOff>92864</xdr:rowOff>
    </xdr:from>
    <xdr:to>
      <xdr:col>3</xdr:col>
      <xdr:colOff>1314</xdr:colOff>
      <xdr:row>63</xdr:row>
      <xdr:rowOff>45185</xdr:rowOff>
    </xdr:to>
    <xdr:sp macro="" textlink="">
      <xdr:nvSpPr>
        <xdr:cNvPr id="4" name="Google Shape;815;gc80ce3a164_2_109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1431" y="5172864"/>
          <a:ext cx="4245183" cy="2346271"/>
        </a:xfrm>
        <a:prstGeom prst="homePlate">
          <a:avLst>
            <a:gd name="adj" fmla="val 28025"/>
          </a:avLst>
        </a:prstGeom>
        <a:noFill/>
        <a:ln w="9525" cap="flat" cmpd="sng">
          <a:noFill/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03685" tIns="51851" rIns="43194" bIns="51851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3594" indent="-173594" defTabSz="666598">
            <a:lnSpc>
              <a:spcPct val="150000"/>
            </a:lnSpc>
            <a:spcBef>
              <a:spcPct val="20000"/>
            </a:spcBef>
            <a:buClr>
              <a:srgbClr val="629DD1"/>
            </a:buClr>
            <a:buSzPct val="85000"/>
            <a:buFont typeface="Wingdings" panose="05000000000000000000" pitchFamily="2" charset="2"/>
            <a:buChar char="ü"/>
            <a:defRPr/>
          </a:pPr>
          <a:r>
            <a:rPr lang="en-US" sz="1050">
              <a:latin typeface="Calibri" panose="020F0502020204030204" pitchFamily="34" charset="0"/>
              <a:ea typeface="Open Sans" panose="020B0606030504020204" pitchFamily="34" charset="0"/>
              <a:cs typeface="Calibri" panose="020F0502020204030204" pitchFamily="34" charset="0"/>
            </a:rPr>
            <a:t>Overall Portfolio delinquency FY’23 at 30+ 3MOB stands at 1.81%. This is within benchmark of 2.0%.</a:t>
          </a:r>
          <a:endParaRPr lang="en-US" sz="1050" b="1">
            <a:latin typeface="Calibri" panose="020F0502020204030204" pitchFamily="34" charset="0"/>
            <a:ea typeface="Open Sans" panose="020B060603050402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555809</xdr:colOff>
      <xdr:row>50</xdr:row>
      <xdr:rowOff>44841</xdr:rowOff>
    </xdr:from>
    <xdr:to>
      <xdr:col>9</xdr:col>
      <xdr:colOff>582171</xdr:colOff>
      <xdr:row>63</xdr:row>
      <xdr:rowOff>20185</xdr:rowOff>
    </xdr:to>
    <xdr:sp macro="" textlink="">
      <xdr:nvSpPr>
        <xdr:cNvPr id="20" name="Google Shape;815;gc80ce3a164_2_1096">
          <a:extLst>
            <a:ext uri="{FF2B5EF4-FFF2-40B4-BE49-F238E27FC236}">
              <a16:creationId xmlns:a16="http://schemas.microsoft.com/office/drawing/2014/main" id="{00000000-0008-0000-0000-000014000000}"/>
            </a:ext>
            <a:ext uri="{147F2762-F138-4A5C-976F-8EAC2B608ADB}">
              <a16:predDERef xmlns:a16="http://schemas.microsoft.com/office/drawing/2014/main" pred="{D6F3ACA1-E1A2-9E11-3F88-51D40D0A9037}"/>
            </a:ext>
          </a:extLst>
        </xdr:cNvPr>
        <xdr:cNvSpPr/>
      </xdr:nvSpPr>
      <xdr:spPr>
        <a:xfrm>
          <a:off x="4251509" y="5124841"/>
          <a:ext cx="4509462" cy="2369294"/>
        </a:xfrm>
        <a:prstGeom prst="homePlate">
          <a:avLst>
            <a:gd name="adj" fmla="val 28025"/>
          </a:avLst>
        </a:prstGeom>
        <a:noFill/>
        <a:ln w="9525" cap="flat" cmpd="sng">
          <a:noFill/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03685" tIns="51851" rIns="43194" bIns="51851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3594" indent="-173594" defTabSz="666598">
            <a:lnSpc>
              <a:spcPct val="150000"/>
            </a:lnSpc>
            <a:spcBef>
              <a:spcPct val="20000"/>
            </a:spcBef>
            <a:buClr>
              <a:srgbClr val="629DD1"/>
            </a:buClr>
            <a:buSzPct val="85000"/>
            <a:buFont typeface="Wingdings" panose="05000000000000000000" pitchFamily="2" charset="2"/>
            <a:buChar char="ü"/>
            <a:defRPr/>
          </a:pPr>
          <a:r>
            <a:rPr lang="en-US" sz="1050">
              <a:latin typeface="Calibri" panose="020F0502020204030204" pitchFamily="34" charset="0"/>
              <a:ea typeface="Open Sans" panose="020B0606030504020204" pitchFamily="34" charset="0"/>
              <a:cs typeface="Calibri" panose="020F0502020204030204" pitchFamily="34" charset="0"/>
            </a:rPr>
            <a:t>Slight drop in portfolio bookings from 785 Cr. (Feb’23) to 761 Cr. (Mar’23)</a:t>
          </a:r>
        </a:p>
      </xdr:txBody>
    </xdr:sp>
    <xdr:clientData/>
  </xdr:twoCellAnchor>
  <xdr:twoCellAnchor>
    <xdr:from>
      <xdr:col>0</xdr:col>
      <xdr:colOff>56152</xdr:colOff>
      <xdr:row>62</xdr:row>
      <xdr:rowOff>171830</xdr:rowOff>
    </xdr:from>
    <xdr:to>
      <xdr:col>1</xdr:col>
      <xdr:colOff>1422000</xdr:colOff>
      <xdr:row>64</xdr:row>
      <xdr:rowOff>87115</xdr:rowOff>
    </xdr:to>
    <xdr:sp macro="" textlink="">
      <xdr:nvSpPr>
        <xdr:cNvPr id="6" name="TextBox 2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6152" y="7461630"/>
          <a:ext cx="2794598" cy="283585"/>
        </a:xfrm>
        <a:prstGeom prst="rect">
          <a:avLst/>
        </a:prstGeom>
        <a:noFill/>
        <a:ln w="9525" cap="rnd">
          <a:noFill/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29BA74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55550" tIns="27775" rIns="55550" bIns="27775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104157" indent="-104157" defTabSz="555498">
            <a:buFont typeface="Arial" panose="020B0604020202020204" pitchFamily="34" charset="0"/>
            <a:buChar char="•"/>
            <a:defRPr/>
          </a:pPr>
          <a:r>
            <a:rPr lang="en-US" sz="972" b="1">
              <a:solidFill>
                <a:srgbClr val="575757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Portfolio Interventions</a:t>
          </a:r>
        </a:p>
      </xdr:txBody>
    </xdr:sp>
    <xdr:clientData/>
  </xdr:twoCellAnchor>
  <xdr:twoCellAnchor>
    <xdr:from>
      <xdr:col>0</xdr:col>
      <xdr:colOff>0</xdr:colOff>
      <xdr:row>49</xdr:row>
      <xdr:rowOff>0</xdr:rowOff>
    </xdr:from>
    <xdr:to>
      <xdr:col>1</xdr:col>
      <xdr:colOff>1619251</xdr:colOff>
      <xdr:row>50</xdr:row>
      <xdr:rowOff>44841</xdr:rowOff>
    </xdr:to>
    <xdr:sp macro="" textlink="">
      <xdr:nvSpPr>
        <xdr:cNvPr id="7" name="TextBox 1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0" y="4895850"/>
          <a:ext cx="3048001" cy="228991"/>
        </a:xfrm>
        <a:prstGeom prst="rect">
          <a:avLst/>
        </a:prstGeom>
        <a:noFill/>
        <a:ln w="9525" cap="rnd">
          <a:noFill/>
          <a:prstDash val="solid"/>
          <a:round/>
        </a:ln>
        <a:extLst>
          <a:ext uri="{909E8E84-426E-40DD-AFC4-6F175D3DCCD1}">
            <a14:hiddenFill xmlns:a14="http://schemas.microsoft.com/office/drawing/2010/main">
              <a:solidFill>
                <a:srgbClr val="29BA74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68580" tIns="34290" rIns="6858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128585" indent="-128585" defTabSz="685783">
            <a:buFont typeface="Arial" panose="020B0604020202020204" pitchFamily="34" charset="0"/>
            <a:buChar char="•"/>
            <a:defRPr/>
          </a:pPr>
          <a:r>
            <a:rPr lang="en-US" sz="1200" b="1">
              <a:solidFill>
                <a:srgbClr val="575757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Key Highlights</a:t>
          </a:r>
        </a:p>
      </xdr:txBody>
    </xdr:sp>
    <xdr:clientData/>
  </xdr:twoCellAnchor>
  <xdr:twoCellAnchor>
    <xdr:from>
      <xdr:col>0</xdr:col>
      <xdr:colOff>6999</xdr:colOff>
      <xdr:row>64</xdr:row>
      <xdr:rowOff>92974</xdr:rowOff>
    </xdr:from>
    <xdr:to>
      <xdr:col>9</xdr:col>
      <xdr:colOff>487457</xdr:colOff>
      <xdr:row>72</xdr:row>
      <xdr:rowOff>179351</xdr:rowOff>
    </xdr:to>
    <xdr:sp macro="" textlink="">
      <xdr:nvSpPr>
        <xdr:cNvPr id="8" name="Google Shape;2465;p64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999" y="7751074"/>
          <a:ext cx="8659258" cy="1559577"/>
        </a:xfrm>
        <a:prstGeom prst="rect">
          <a:avLst/>
        </a:prstGeom>
        <a:noFill/>
        <a:ln w="9525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49973" tIns="24974" rIns="49973" bIns="24974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499949">
            <a:buClr>
              <a:srgbClr val="000000"/>
            </a:buClr>
            <a:buSzPts val="1300"/>
            <a:defRPr/>
          </a:pPr>
          <a:endParaRPr sz="851" kern="0">
            <a:solidFill>
              <a:srgbClr val="FFFFFF"/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  <a:sym typeface="Arial"/>
          </a:endParaRPr>
        </a:p>
      </xdr:txBody>
    </xdr:sp>
    <xdr:clientData/>
  </xdr:twoCellAnchor>
  <xdr:twoCellAnchor>
    <xdr:from>
      <xdr:col>2</xdr:col>
      <xdr:colOff>590851</xdr:colOff>
      <xdr:row>64</xdr:row>
      <xdr:rowOff>103801</xdr:rowOff>
    </xdr:from>
    <xdr:to>
      <xdr:col>9</xdr:col>
      <xdr:colOff>399834</xdr:colOff>
      <xdr:row>72</xdr:row>
      <xdr:rowOff>139377</xdr:rowOff>
    </xdr:to>
    <xdr:sp macro="" textlink="">
      <xdr:nvSpPr>
        <xdr:cNvPr id="22" name="Google Shape;815;gc80ce3a164_2_1096">
          <a:extLst>
            <a:ext uri="{FF2B5EF4-FFF2-40B4-BE49-F238E27FC236}">
              <a16:creationId xmlns:a16="http://schemas.microsoft.com/office/drawing/2014/main" id="{00000000-0008-0000-0000-000016000000}"/>
            </a:ext>
            <a:ext uri="{147F2762-F138-4A5C-976F-8EAC2B608ADB}">
              <a16:predDERef xmlns:a16="http://schemas.microsoft.com/office/drawing/2014/main" pred="{AF13F80A-413E-ACC8-41DD-1FDA64DB71AC}"/>
            </a:ext>
          </a:extLst>
        </xdr:cNvPr>
        <xdr:cNvSpPr/>
      </xdr:nvSpPr>
      <xdr:spPr>
        <a:xfrm>
          <a:off x="4286551" y="7761901"/>
          <a:ext cx="4292083" cy="1508776"/>
        </a:xfrm>
        <a:prstGeom prst="homePlate">
          <a:avLst>
            <a:gd name="adj" fmla="val 28025"/>
          </a:avLst>
        </a:prstGeom>
        <a:noFill/>
        <a:ln w="9525" cap="flat" cmpd="sng">
          <a:noFill/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03685" tIns="51851" rIns="43194" bIns="51851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 defTabSz="555498" fontAlgn="base">
            <a:spcBef>
              <a:spcPct val="20000"/>
            </a:spcBef>
            <a:spcAft>
              <a:spcPct val="0"/>
            </a:spcAft>
            <a:buClr>
              <a:srgbClr val="629DD1"/>
            </a:buClr>
            <a:buSzPct val="85000"/>
            <a:defRPr/>
          </a:pPr>
          <a:r>
            <a:rPr lang="en-IN" altLang="en-US" sz="1100" b="1">
              <a:solidFill>
                <a:srgbClr val="297FD5"/>
              </a:solidFill>
              <a:latin typeface="Calibri" panose="020F0502020204030204" pitchFamily="34" charset="0"/>
              <a:ea typeface="Open Sans" panose="020B0606030504020204" pitchFamily="34" charset="0"/>
              <a:cs typeface="Calibri" panose="020F0502020204030204" pitchFamily="34" charset="0"/>
            </a:rPr>
            <a:t>Sharper Portfolio Deep dive</a:t>
          </a:r>
        </a:p>
        <a:p>
          <a:pPr algn="just" defTabSz="555498" fontAlgn="base">
            <a:spcBef>
              <a:spcPct val="20000"/>
            </a:spcBef>
            <a:spcAft>
              <a:spcPct val="0"/>
            </a:spcAft>
            <a:buClr>
              <a:srgbClr val="629DD1"/>
            </a:buClr>
            <a:buSzPct val="85000"/>
            <a:defRPr/>
          </a:pPr>
          <a:endParaRPr lang="en-US" sz="1100">
            <a:latin typeface="Calibri" panose="020F0502020204030204" pitchFamily="34" charset="0"/>
            <a:ea typeface="Open Sans" panose="020B060603050402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15800</xdr:colOff>
      <xdr:row>64</xdr:row>
      <xdr:rowOff>117975</xdr:rowOff>
    </xdr:from>
    <xdr:to>
      <xdr:col>2</xdr:col>
      <xdr:colOff>590852</xdr:colOff>
      <xdr:row>72</xdr:row>
      <xdr:rowOff>153551</xdr:rowOff>
    </xdr:to>
    <xdr:sp macro="" textlink="">
      <xdr:nvSpPr>
        <xdr:cNvPr id="21" name="Google Shape;815;gc80ce3a164_2_1096">
          <a:extLst>
            <a:ext uri="{FF2B5EF4-FFF2-40B4-BE49-F238E27FC236}">
              <a16:creationId xmlns:a16="http://schemas.microsoft.com/office/drawing/2014/main" id="{00000000-0008-0000-0000-000015000000}"/>
            </a:ext>
            <a:ext uri="{147F2762-F138-4A5C-976F-8EAC2B608ADB}">
              <a16:predDERef xmlns:a16="http://schemas.microsoft.com/office/drawing/2014/main" pred="{AF13F80A-413E-ACC8-41DD-1FDA64DB71AC}"/>
            </a:ext>
          </a:extLst>
        </xdr:cNvPr>
        <xdr:cNvSpPr/>
      </xdr:nvSpPr>
      <xdr:spPr>
        <a:xfrm>
          <a:off x="15800" y="7776075"/>
          <a:ext cx="4270752" cy="1508776"/>
        </a:xfrm>
        <a:prstGeom prst="homePlate">
          <a:avLst>
            <a:gd name="adj" fmla="val 28025"/>
          </a:avLst>
        </a:prstGeom>
        <a:noFill/>
        <a:ln w="9525" cap="flat" cmpd="sng">
          <a:noFill/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03685" tIns="51851" rIns="43194" bIns="51851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 defTabSz="555498" fontAlgn="base">
            <a:spcBef>
              <a:spcPct val="20000"/>
            </a:spcBef>
            <a:spcAft>
              <a:spcPct val="0"/>
            </a:spcAft>
            <a:buClr>
              <a:srgbClr val="629DD1"/>
            </a:buClr>
            <a:buSzPct val="85000"/>
            <a:defRPr/>
          </a:pPr>
          <a:r>
            <a:rPr lang="en-IN" altLang="en-US" sz="1200" b="1">
              <a:solidFill>
                <a:srgbClr val="297FD5"/>
              </a:solidFill>
              <a:latin typeface="Calibri" panose="020F0502020204030204" pitchFamily="34" charset="0"/>
              <a:ea typeface="Open Sans" panose="020B0606030504020204" pitchFamily="34" charset="0"/>
              <a:cs typeface="Calibri" panose="020F0502020204030204" pitchFamily="34" charset="0"/>
            </a:rPr>
            <a:t>Business Opportunity </a:t>
          </a:r>
        </a:p>
      </xdr:txBody>
    </xdr:sp>
    <xdr:clientData/>
  </xdr:twoCellAnchor>
  <xdr:twoCellAnchor>
    <xdr:from>
      <xdr:col>2</xdr:col>
      <xdr:colOff>584200</xdr:colOff>
      <xdr:row>50</xdr:row>
      <xdr:rowOff>57150</xdr:rowOff>
    </xdr:from>
    <xdr:to>
      <xdr:col>9</xdr:col>
      <xdr:colOff>555457</xdr:colOff>
      <xdr:row>63</xdr:row>
      <xdr:rowOff>3360</xdr:rowOff>
    </xdr:to>
    <xdr:sp macro="" textlink="">
      <xdr:nvSpPr>
        <xdr:cNvPr id="11" name="Google Shape;2465;p64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279900" y="5137150"/>
          <a:ext cx="4454357" cy="2340160"/>
        </a:xfrm>
        <a:prstGeom prst="rect">
          <a:avLst/>
        </a:prstGeom>
        <a:noFill/>
        <a:ln w="28575" cap="flat" cmpd="sng">
          <a:solidFill>
            <a:srgbClr val="FFC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49973" tIns="24974" rIns="49973" bIns="24974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499949">
            <a:buClr>
              <a:srgbClr val="000000"/>
            </a:buClr>
            <a:buSzPts val="1300"/>
            <a:defRPr/>
          </a:pPr>
          <a:endParaRPr sz="851" kern="0">
            <a:solidFill>
              <a:srgbClr val="FFFFFF"/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  <a:sym typeface="Arial"/>
          </a:endParaRPr>
        </a:p>
      </xdr:txBody>
    </xdr:sp>
    <xdr:clientData/>
  </xdr:twoCellAnchor>
  <xdr:twoCellAnchor>
    <xdr:from>
      <xdr:col>11</xdr:col>
      <xdr:colOff>0</xdr:colOff>
      <xdr:row>0</xdr:row>
      <xdr:rowOff>12700</xdr:rowOff>
    </xdr:from>
    <xdr:to>
      <xdr:col>13</xdr:col>
      <xdr:colOff>95250</xdr:colOff>
      <xdr:row>8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565149</xdr:colOff>
      <xdr:row>0</xdr:row>
      <xdr:rowOff>0</xdr:rowOff>
    </xdr:from>
    <xdr:to>
      <xdr:col>16</xdr:col>
      <xdr:colOff>85724</xdr:colOff>
      <xdr:row>11</xdr:row>
      <xdr:rowOff>127000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1016000</xdr:colOff>
      <xdr:row>5</xdr:row>
      <xdr:rowOff>6350</xdr:rowOff>
    </xdr:from>
    <xdr:to>
      <xdr:col>17</xdr:col>
      <xdr:colOff>184150</xdr:colOff>
      <xdr:row>5</xdr:row>
      <xdr:rowOff>6350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14585950" y="596900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276224</xdr:colOff>
      <xdr:row>2</xdr:row>
      <xdr:rowOff>38100</xdr:rowOff>
    </xdr:from>
    <xdr:to>
      <xdr:col>20</xdr:col>
      <xdr:colOff>148165</xdr:colOff>
      <xdr:row>9</xdr:row>
      <xdr:rowOff>123825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5632641" y="429683"/>
          <a:ext cx="1713441" cy="102764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seucred Product and unsecured products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10</xdr:row>
      <xdr:rowOff>12700</xdr:rowOff>
    </xdr:from>
    <xdr:to>
      <xdr:col>9</xdr:col>
      <xdr:colOff>304800</xdr:colOff>
      <xdr:row>10</xdr:row>
      <xdr:rowOff>12700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7721600" y="1524000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400049</xdr:colOff>
      <xdr:row>9</xdr:row>
      <xdr:rowOff>38100</xdr:rowOff>
    </xdr:from>
    <xdr:to>
      <xdr:col>12</xdr:col>
      <xdr:colOff>657929</xdr:colOff>
      <xdr:row>13</xdr:row>
      <xdr:rowOff>179916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8760882" y="1371600"/>
          <a:ext cx="2808464" cy="734483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seucred book  and unsecured book and then Product type (Fresh, Top Up and Renewal),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165100</xdr:rowOff>
    </xdr:from>
    <xdr:to>
      <xdr:col>10</xdr:col>
      <xdr:colOff>304800</xdr:colOff>
      <xdr:row>6</xdr:row>
      <xdr:rowOff>165100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8883650" y="1149350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400049</xdr:colOff>
      <xdr:row>6</xdr:row>
      <xdr:rowOff>0</xdr:rowOff>
    </xdr:from>
    <xdr:to>
      <xdr:col>15</xdr:col>
      <xdr:colOff>159454</xdr:colOff>
      <xdr:row>13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9893299" y="984250"/>
          <a:ext cx="2807405" cy="1016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product type (Fresh Top Up and Renewal)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66</xdr:row>
      <xdr:rowOff>165100</xdr:rowOff>
    </xdr:from>
    <xdr:to>
      <xdr:col>10</xdr:col>
      <xdr:colOff>304800</xdr:colOff>
      <xdr:row>66</xdr:row>
      <xdr:rowOff>165100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8883650" y="9131300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400049</xdr:colOff>
      <xdr:row>66</xdr:row>
      <xdr:rowOff>0</xdr:rowOff>
    </xdr:from>
    <xdr:to>
      <xdr:col>15</xdr:col>
      <xdr:colOff>159454</xdr:colOff>
      <xdr:row>74</xdr:row>
      <xdr:rowOff>31750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9893299" y="8966200"/>
          <a:ext cx="2807405" cy="1016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product type (Fresh Top Up and Renewal)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109</xdr:row>
      <xdr:rowOff>165100</xdr:rowOff>
    </xdr:from>
    <xdr:to>
      <xdr:col>10</xdr:col>
      <xdr:colOff>304800</xdr:colOff>
      <xdr:row>109</xdr:row>
      <xdr:rowOff>165100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8883650" y="14992350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504825</xdr:colOff>
      <xdr:row>109</xdr:row>
      <xdr:rowOff>0</xdr:rowOff>
    </xdr:from>
    <xdr:to>
      <xdr:col>15</xdr:col>
      <xdr:colOff>162629</xdr:colOff>
      <xdr:row>113</xdr:row>
      <xdr:rowOff>9525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9991725" y="22193250"/>
          <a:ext cx="2705804" cy="8096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product type (Fresh Top Up and Renewal)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154</xdr:row>
      <xdr:rowOff>165100</xdr:rowOff>
    </xdr:from>
    <xdr:to>
      <xdr:col>10</xdr:col>
      <xdr:colOff>304800</xdr:colOff>
      <xdr:row>154</xdr:row>
      <xdr:rowOff>165100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8883650" y="21196300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314325</xdr:colOff>
      <xdr:row>154</xdr:row>
      <xdr:rowOff>0</xdr:rowOff>
    </xdr:from>
    <xdr:to>
      <xdr:col>15</xdr:col>
      <xdr:colOff>162629</xdr:colOff>
      <xdr:row>156</xdr:row>
      <xdr:rowOff>114300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9801225" y="31299150"/>
          <a:ext cx="2896304" cy="5143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product type (Fresh Top Up and Renewal)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199</xdr:row>
      <xdr:rowOff>158750</xdr:rowOff>
    </xdr:from>
    <xdr:to>
      <xdr:col>10</xdr:col>
      <xdr:colOff>304800</xdr:colOff>
      <xdr:row>199</xdr:row>
      <xdr:rowOff>158750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B80ECD2-B263-4766-B1AB-AC475C9893D9}"/>
            </a:ext>
          </a:extLst>
        </xdr:cNvPr>
        <xdr:cNvCxnSpPr/>
      </xdr:nvCxnSpPr>
      <xdr:spPr>
        <a:xfrm>
          <a:off x="8877300" y="32972375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390525</xdr:colOff>
      <xdr:row>197</xdr:row>
      <xdr:rowOff>171450</xdr:rowOff>
    </xdr:from>
    <xdr:to>
      <xdr:col>14</xdr:col>
      <xdr:colOff>597604</xdr:colOff>
      <xdr:row>200</xdr:row>
      <xdr:rowOff>190500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8EEC19A-F117-41A5-989E-61B9213854EE}"/>
            </a:ext>
          </a:extLst>
        </xdr:cNvPr>
        <xdr:cNvSpPr/>
      </xdr:nvSpPr>
      <xdr:spPr>
        <a:xfrm>
          <a:off x="9877425" y="40233600"/>
          <a:ext cx="2645479" cy="6191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product type (Fresh Top Up and Renewal)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14111</xdr:colOff>
      <xdr:row>2</xdr:row>
      <xdr:rowOff>150990</xdr:rowOff>
    </xdr:from>
    <xdr:to>
      <xdr:col>9</xdr:col>
      <xdr:colOff>321734</xdr:colOff>
      <xdr:row>2</xdr:row>
      <xdr:rowOff>150990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>
          <a:off x="7323667" y="546101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381705</xdr:colOff>
      <xdr:row>1</xdr:row>
      <xdr:rowOff>148167</xdr:rowOff>
    </xdr:from>
    <xdr:to>
      <xdr:col>14</xdr:col>
      <xdr:colOff>155221</xdr:colOff>
      <xdr:row>6</xdr:row>
      <xdr:rowOff>176390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8298038" y="345723"/>
          <a:ext cx="2807405" cy="1016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seucred book and unsecured book and Product type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(Fresh Top Up and Renewal)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656167</xdr:colOff>
      <xdr:row>125</xdr:row>
      <xdr:rowOff>59266</xdr:rowOff>
    </xdr:from>
    <xdr:to>
      <xdr:col>9</xdr:col>
      <xdr:colOff>300567</xdr:colOff>
      <xdr:row>125</xdr:row>
      <xdr:rowOff>59266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7302500" y="24654933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395816</xdr:colOff>
      <xdr:row>124</xdr:row>
      <xdr:rowOff>91722</xdr:rowOff>
    </xdr:from>
    <xdr:to>
      <xdr:col>14</xdr:col>
      <xdr:colOff>169332</xdr:colOff>
      <xdr:row>129</xdr:row>
      <xdr:rowOff>119944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312149" y="24489833"/>
          <a:ext cx="2807405" cy="1016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Keep adding new</a:t>
          </a:r>
          <a:r>
            <a:rPr lang="en-US" sz="1100" b="1" baseline="0">
              <a:solidFill>
                <a:schemeClr val="tx1"/>
              </a:solidFill>
            </a:rPr>
            <a:t> product which is currently on book and also new product lunch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64</xdr:row>
      <xdr:rowOff>66322</xdr:rowOff>
    </xdr:from>
    <xdr:to>
      <xdr:col>9</xdr:col>
      <xdr:colOff>307623</xdr:colOff>
      <xdr:row>64</xdr:row>
      <xdr:rowOff>66322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7309556" y="12653433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402872</xdr:colOff>
      <xdr:row>63</xdr:row>
      <xdr:rowOff>98777</xdr:rowOff>
    </xdr:from>
    <xdr:to>
      <xdr:col>14</xdr:col>
      <xdr:colOff>176388</xdr:colOff>
      <xdr:row>68</xdr:row>
      <xdr:rowOff>127000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319205" y="12488333"/>
          <a:ext cx="2807405" cy="1016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product wise like auto Loan, consumer loan, perosnal loan, housing Loan etc.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27</xdr:row>
      <xdr:rowOff>2822</xdr:rowOff>
    </xdr:from>
    <xdr:to>
      <xdr:col>9</xdr:col>
      <xdr:colOff>307623</xdr:colOff>
      <xdr:row>27</xdr:row>
      <xdr:rowOff>2822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/>
      </xdr:nvCxnSpPr>
      <xdr:spPr>
        <a:xfrm>
          <a:off x="7309556" y="5322711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367594</xdr:colOff>
      <xdr:row>26</xdr:row>
      <xdr:rowOff>0</xdr:rowOff>
    </xdr:from>
    <xdr:to>
      <xdr:col>14</xdr:col>
      <xdr:colOff>141110</xdr:colOff>
      <xdr:row>31</xdr:row>
      <xdr:rowOff>28222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283927" y="5122333"/>
          <a:ext cx="2807405" cy="1016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seucred book and unsecured book and Product type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(Fresh Top Up and Renewal)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44</xdr:row>
      <xdr:rowOff>2823</xdr:rowOff>
    </xdr:from>
    <xdr:to>
      <xdr:col>9</xdr:col>
      <xdr:colOff>307623</xdr:colOff>
      <xdr:row>44</xdr:row>
      <xdr:rowOff>2823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>
        <a:xfrm>
          <a:off x="7309556" y="8667045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367594</xdr:colOff>
      <xdr:row>43</xdr:row>
      <xdr:rowOff>0</xdr:rowOff>
    </xdr:from>
    <xdr:to>
      <xdr:col>14</xdr:col>
      <xdr:colOff>141110</xdr:colOff>
      <xdr:row>48</xdr:row>
      <xdr:rowOff>28223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283927" y="8466667"/>
          <a:ext cx="2807405" cy="1016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seucred book and unsecured book and Product type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(Fresh Top Up and Renewal)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71</xdr:row>
      <xdr:rowOff>2822</xdr:rowOff>
    </xdr:from>
    <xdr:to>
      <xdr:col>9</xdr:col>
      <xdr:colOff>307623</xdr:colOff>
      <xdr:row>71</xdr:row>
      <xdr:rowOff>2822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/>
      </xdr:nvCxnSpPr>
      <xdr:spPr>
        <a:xfrm>
          <a:off x="7309556" y="13972822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367594</xdr:colOff>
      <xdr:row>70</xdr:row>
      <xdr:rowOff>0</xdr:rowOff>
    </xdr:from>
    <xdr:to>
      <xdr:col>14</xdr:col>
      <xdr:colOff>141110</xdr:colOff>
      <xdr:row>75</xdr:row>
      <xdr:rowOff>28222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283927" y="13772444"/>
          <a:ext cx="2807405" cy="1016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seucred book and unsecured book and Product type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(Fresh Top Up and Renewal)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87</xdr:row>
      <xdr:rowOff>2821</xdr:rowOff>
    </xdr:from>
    <xdr:to>
      <xdr:col>9</xdr:col>
      <xdr:colOff>307623</xdr:colOff>
      <xdr:row>87</xdr:row>
      <xdr:rowOff>2821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6B7ECCFC-8ED7-4B3E-955E-A51AA298B3AB}"/>
            </a:ext>
          </a:extLst>
        </xdr:cNvPr>
        <xdr:cNvCxnSpPr/>
      </xdr:nvCxnSpPr>
      <xdr:spPr>
        <a:xfrm>
          <a:off x="7260167" y="17391238"/>
          <a:ext cx="921456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370769</xdr:colOff>
      <xdr:row>86</xdr:row>
      <xdr:rowOff>0</xdr:rowOff>
    </xdr:from>
    <xdr:to>
      <xdr:col>14</xdr:col>
      <xdr:colOff>144285</xdr:colOff>
      <xdr:row>91</xdr:row>
      <xdr:rowOff>31396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684FDF9-1AC4-43D7-9004-0D2AB6490D6E}"/>
            </a:ext>
          </a:extLst>
        </xdr:cNvPr>
        <xdr:cNvSpPr/>
      </xdr:nvSpPr>
      <xdr:spPr>
        <a:xfrm>
          <a:off x="8244769" y="17187333"/>
          <a:ext cx="2842683" cy="1036813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seucred book and unsecured book and Product type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(Fresh Top Up and Renewal)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108</xdr:row>
      <xdr:rowOff>2822</xdr:rowOff>
    </xdr:from>
    <xdr:to>
      <xdr:col>8</xdr:col>
      <xdr:colOff>265289</xdr:colOff>
      <xdr:row>108</xdr:row>
      <xdr:rowOff>2822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5725C65-753C-4E43-B649-297C4D980D42}"/>
            </a:ext>
          </a:extLst>
        </xdr:cNvPr>
        <xdr:cNvCxnSpPr/>
      </xdr:nvCxnSpPr>
      <xdr:spPr>
        <a:xfrm>
          <a:off x="6604000" y="21592822"/>
          <a:ext cx="921456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328435</xdr:colOff>
      <xdr:row>107</xdr:row>
      <xdr:rowOff>0</xdr:rowOff>
    </xdr:from>
    <xdr:to>
      <xdr:col>13</xdr:col>
      <xdr:colOff>101952</xdr:colOff>
      <xdr:row>112</xdr:row>
      <xdr:rowOff>31397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7013AC4-F136-4255-B5DC-99F7A28857E6}"/>
            </a:ext>
          </a:extLst>
        </xdr:cNvPr>
        <xdr:cNvSpPr/>
      </xdr:nvSpPr>
      <xdr:spPr>
        <a:xfrm>
          <a:off x="7588602" y="21388917"/>
          <a:ext cx="2842683" cy="1036813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seucred book and unsecured book and Product type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(Fresh Top Up and Renewal)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8</xdr:row>
      <xdr:rowOff>16228</xdr:rowOff>
    </xdr:from>
    <xdr:to>
      <xdr:col>16</xdr:col>
      <xdr:colOff>304800</xdr:colOff>
      <xdr:row>8</xdr:row>
      <xdr:rowOff>16228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11741150" y="1508478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364771</xdr:colOff>
      <xdr:row>7</xdr:row>
      <xdr:rowOff>0</xdr:rowOff>
    </xdr:from>
    <xdr:to>
      <xdr:col>21</xdr:col>
      <xdr:colOff>124176</xdr:colOff>
      <xdr:row>12</xdr:row>
      <xdr:rowOff>95250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2715521" y="1308100"/>
          <a:ext cx="2807405" cy="1016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seucred book and unsecured book and Product type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(Fresh Top Up and Renewal), program type etc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0</xdr:colOff>
      <xdr:row>24</xdr:row>
      <xdr:rowOff>16228</xdr:rowOff>
    </xdr:from>
    <xdr:to>
      <xdr:col>16</xdr:col>
      <xdr:colOff>304800</xdr:colOff>
      <xdr:row>24</xdr:row>
      <xdr:rowOff>16228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>
          <a:off x="11741150" y="4461228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364771</xdr:colOff>
      <xdr:row>23</xdr:row>
      <xdr:rowOff>0</xdr:rowOff>
    </xdr:from>
    <xdr:to>
      <xdr:col>21</xdr:col>
      <xdr:colOff>124176</xdr:colOff>
      <xdr:row>28</xdr:row>
      <xdr:rowOff>95250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2715521" y="4260850"/>
          <a:ext cx="2807405" cy="1016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seucred book and unsecured book and Product type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(Fresh Top Up and Renewal)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0</xdr:colOff>
      <xdr:row>39</xdr:row>
      <xdr:rowOff>16228</xdr:rowOff>
    </xdr:from>
    <xdr:to>
      <xdr:col>16</xdr:col>
      <xdr:colOff>304800</xdr:colOff>
      <xdr:row>39</xdr:row>
      <xdr:rowOff>16228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11741150" y="7248878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364771</xdr:colOff>
      <xdr:row>38</xdr:row>
      <xdr:rowOff>0</xdr:rowOff>
    </xdr:from>
    <xdr:to>
      <xdr:col>21</xdr:col>
      <xdr:colOff>124176</xdr:colOff>
      <xdr:row>43</xdr:row>
      <xdr:rowOff>95250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2715521" y="7048500"/>
          <a:ext cx="2807405" cy="1016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seucred book and unsecured book and Product type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(Fresh Top Up and Renewal)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0</xdr:colOff>
      <xdr:row>54</xdr:row>
      <xdr:rowOff>16228</xdr:rowOff>
    </xdr:from>
    <xdr:to>
      <xdr:col>16</xdr:col>
      <xdr:colOff>304800</xdr:colOff>
      <xdr:row>54</xdr:row>
      <xdr:rowOff>16228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11741150" y="10036528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364771</xdr:colOff>
      <xdr:row>53</xdr:row>
      <xdr:rowOff>0</xdr:rowOff>
    </xdr:from>
    <xdr:to>
      <xdr:col>21</xdr:col>
      <xdr:colOff>124176</xdr:colOff>
      <xdr:row>58</xdr:row>
      <xdr:rowOff>95250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2715521" y="9836150"/>
          <a:ext cx="2807405" cy="1016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seucred book and unsecured book and Product type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(Fresh Top Up and Renewal)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0</xdr:colOff>
      <xdr:row>68</xdr:row>
      <xdr:rowOff>16228</xdr:rowOff>
    </xdr:from>
    <xdr:to>
      <xdr:col>16</xdr:col>
      <xdr:colOff>304800</xdr:colOff>
      <xdr:row>68</xdr:row>
      <xdr:rowOff>16228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11741150" y="12640028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364771</xdr:colOff>
      <xdr:row>67</xdr:row>
      <xdr:rowOff>0</xdr:rowOff>
    </xdr:from>
    <xdr:to>
      <xdr:col>21</xdr:col>
      <xdr:colOff>124176</xdr:colOff>
      <xdr:row>72</xdr:row>
      <xdr:rowOff>95250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2715521" y="12439650"/>
          <a:ext cx="2807405" cy="1016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seucred book and unsecured book and Product type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(Fresh Top Up and Renewal)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0</xdr:colOff>
      <xdr:row>85</xdr:row>
      <xdr:rowOff>16228</xdr:rowOff>
    </xdr:from>
    <xdr:to>
      <xdr:col>16</xdr:col>
      <xdr:colOff>304800</xdr:colOff>
      <xdr:row>85</xdr:row>
      <xdr:rowOff>16228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11741150" y="15795978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364771</xdr:colOff>
      <xdr:row>84</xdr:row>
      <xdr:rowOff>0</xdr:rowOff>
    </xdr:from>
    <xdr:to>
      <xdr:col>21</xdr:col>
      <xdr:colOff>124176</xdr:colOff>
      <xdr:row>89</xdr:row>
      <xdr:rowOff>95250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2715521" y="15595600"/>
          <a:ext cx="2807405" cy="1016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seucred book and unsecured book and Product type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(Fresh Top Up and Renewal)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0</xdr:colOff>
      <xdr:row>101</xdr:row>
      <xdr:rowOff>16228</xdr:rowOff>
    </xdr:from>
    <xdr:to>
      <xdr:col>16</xdr:col>
      <xdr:colOff>304800</xdr:colOff>
      <xdr:row>101</xdr:row>
      <xdr:rowOff>16228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>
          <a:off x="11741150" y="18767778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364771</xdr:colOff>
      <xdr:row>100</xdr:row>
      <xdr:rowOff>0</xdr:rowOff>
    </xdr:from>
    <xdr:to>
      <xdr:col>21</xdr:col>
      <xdr:colOff>124176</xdr:colOff>
      <xdr:row>105</xdr:row>
      <xdr:rowOff>95250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12715521" y="18567400"/>
          <a:ext cx="2807405" cy="1016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seucred book and unsecured book and Product type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(Fresh Top Up and Renewal)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0</xdr:colOff>
      <xdr:row>116</xdr:row>
      <xdr:rowOff>16228</xdr:rowOff>
    </xdr:from>
    <xdr:to>
      <xdr:col>16</xdr:col>
      <xdr:colOff>304800</xdr:colOff>
      <xdr:row>116</xdr:row>
      <xdr:rowOff>16228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/>
      </xdr:nvCxnSpPr>
      <xdr:spPr>
        <a:xfrm>
          <a:off x="11741150" y="21555428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364771</xdr:colOff>
      <xdr:row>115</xdr:row>
      <xdr:rowOff>0</xdr:rowOff>
    </xdr:from>
    <xdr:to>
      <xdr:col>21</xdr:col>
      <xdr:colOff>124176</xdr:colOff>
      <xdr:row>120</xdr:row>
      <xdr:rowOff>95250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12715521" y="21355050"/>
          <a:ext cx="2807405" cy="1016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seucred book and unsecured book and Product type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(Fresh Top Up and Renewal)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685800</xdr:colOff>
      <xdr:row>126</xdr:row>
      <xdr:rowOff>76201</xdr:rowOff>
    </xdr:from>
    <xdr:to>
      <xdr:col>10</xdr:col>
      <xdr:colOff>190500</xdr:colOff>
      <xdr:row>133</xdr:row>
      <xdr:rowOff>38101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A37EF0D-BB4B-226F-AAC8-C8CE462A4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23412451"/>
          <a:ext cx="4457700" cy="1257300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133</xdr:row>
      <xdr:rowOff>152400</xdr:rowOff>
    </xdr:from>
    <xdr:to>
      <xdr:col>10</xdr:col>
      <xdr:colOff>180975</xdr:colOff>
      <xdr:row>140</xdr:row>
      <xdr:rowOff>142875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4899E0C-291A-4848-B2D2-3F4CC839B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0475" y="24784050"/>
          <a:ext cx="4457700" cy="1257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488950</xdr:colOff>
      <xdr:row>3</xdr:row>
      <xdr:rowOff>95250</xdr:rowOff>
    </xdr:from>
    <xdr:to>
      <xdr:col>13</xdr:col>
      <xdr:colOff>184150</xdr:colOff>
      <xdr:row>3</xdr:row>
      <xdr:rowOff>95250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7620000" y="660400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276224</xdr:colOff>
      <xdr:row>2</xdr:row>
      <xdr:rowOff>123825</xdr:rowOff>
    </xdr:from>
    <xdr:to>
      <xdr:col>18</xdr:col>
      <xdr:colOff>38804</xdr:colOff>
      <xdr:row>9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9077324" y="485775"/>
          <a:ext cx="2810580" cy="13049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seucred book and unsecured book and then product wise</a:t>
          </a:r>
          <a:br>
            <a:rPr lang="en-US" sz="1100" b="1" baseline="0">
              <a:solidFill>
                <a:schemeClr val="tx1"/>
              </a:solidFill>
            </a:rPr>
          </a:br>
          <a:r>
            <a:rPr lang="en-US" sz="1100" b="1" baseline="0">
              <a:solidFill>
                <a:schemeClr val="tx1"/>
              </a:solidFill>
            </a:rPr>
            <a:t>Like Consumer Loan, Auto Loan, Micro Finance, Perosonal Loan, Housing Loan</a:t>
          </a:r>
          <a:br>
            <a:rPr lang="en-US" sz="1100" b="1" baseline="0">
              <a:solidFill>
                <a:schemeClr val="tx1"/>
              </a:solidFill>
            </a:rPr>
          </a:br>
          <a:r>
            <a:rPr lang="en-US" sz="1100" b="1" baseline="0">
              <a:solidFill>
                <a:schemeClr val="tx1"/>
              </a:solidFill>
            </a:rPr>
            <a:t>This is also need to be tracked tenor wise, Product type (Fresh Top Up &amp; Renewal), bureau wise etc</a:t>
          </a:r>
        </a:p>
        <a:p>
          <a:pPr algn="l"/>
          <a:endParaRPr lang="en-US" sz="11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292100</xdr:colOff>
      <xdr:row>32</xdr:row>
      <xdr:rowOff>133350</xdr:rowOff>
    </xdr:from>
    <xdr:to>
      <xdr:col>18</xdr:col>
      <xdr:colOff>600075</xdr:colOff>
      <xdr:row>36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702800" y="6477000"/>
          <a:ext cx="2746375" cy="7874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seucred book and unsecured book and then product wise</a:t>
          </a:r>
          <a:br>
            <a:rPr lang="en-US" sz="1100" b="1" baseline="0">
              <a:solidFill>
                <a:schemeClr val="tx1"/>
              </a:solidFill>
            </a:rPr>
          </a:br>
          <a:r>
            <a:rPr lang="en-US" sz="1100" b="1" baseline="0">
              <a:solidFill>
                <a:schemeClr val="tx1"/>
              </a:solidFill>
            </a:rPr>
            <a:t>Like Consumer Loan, Auto Loan, Micro Finance, Perosonal Loan, Housing Loan</a:t>
          </a:r>
          <a:br>
            <a:rPr lang="en-US" sz="1100" b="1" baseline="0">
              <a:solidFill>
                <a:schemeClr val="tx1"/>
              </a:solidFill>
            </a:rPr>
          </a:br>
          <a:endParaRPr lang="en-US" sz="11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0</xdr:colOff>
      <xdr:row>27</xdr:row>
      <xdr:rowOff>123825</xdr:rowOff>
    </xdr:from>
    <xdr:to>
      <xdr:col>14</xdr:col>
      <xdr:colOff>304800</xdr:colOff>
      <xdr:row>27</xdr:row>
      <xdr:rowOff>123825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5A4C2C1-2801-48DB-A15C-E15AAB0E8F83}"/>
            </a:ext>
          </a:extLst>
        </xdr:cNvPr>
        <xdr:cNvCxnSpPr/>
      </xdr:nvCxnSpPr>
      <xdr:spPr>
        <a:xfrm>
          <a:off x="8801100" y="5486400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292100</xdr:colOff>
      <xdr:row>26</xdr:row>
      <xdr:rowOff>0</xdr:rowOff>
    </xdr:from>
    <xdr:to>
      <xdr:col>18</xdr:col>
      <xdr:colOff>600075</xdr:colOff>
      <xdr:row>29</xdr:row>
      <xdr:rowOff>190500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8252850-A84D-4D17-8F26-117E77596656}"/>
            </a:ext>
          </a:extLst>
        </xdr:cNvPr>
        <xdr:cNvSpPr/>
      </xdr:nvSpPr>
      <xdr:spPr>
        <a:xfrm>
          <a:off x="9702800" y="5162550"/>
          <a:ext cx="2746375" cy="7905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</a:t>
          </a:r>
          <a:r>
            <a:rPr lang="en-US" sz="1100" b="1" baseline="0">
              <a:solidFill>
                <a:schemeClr val="tx1"/>
              </a:solidFill>
            </a:rPr>
            <a:t> bucket roll rate will be tracked till the account/portfolio is written off</a:t>
          </a:r>
          <a:br>
            <a:rPr lang="en-US" sz="1100" b="1" baseline="0">
              <a:solidFill>
                <a:schemeClr val="tx1"/>
              </a:solidFill>
            </a:rPr>
          </a:br>
          <a:endParaRPr lang="en-US" sz="11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504825</xdr:colOff>
      <xdr:row>11</xdr:row>
      <xdr:rowOff>6350</xdr:rowOff>
    </xdr:from>
    <xdr:to>
      <xdr:col>13</xdr:col>
      <xdr:colOff>200025</xdr:colOff>
      <xdr:row>11</xdr:row>
      <xdr:rowOff>6350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A723494-A5C1-498A-9C8B-7EB1D2CD2AFE}"/>
            </a:ext>
          </a:extLst>
        </xdr:cNvPr>
        <xdr:cNvCxnSpPr/>
      </xdr:nvCxnSpPr>
      <xdr:spPr>
        <a:xfrm>
          <a:off x="8086725" y="2168525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257174</xdr:colOff>
      <xdr:row>10</xdr:row>
      <xdr:rowOff>6351</xdr:rowOff>
    </xdr:from>
    <xdr:to>
      <xdr:col>18</xdr:col>
      <xdr:colOff>57149</xdr:colOff>
      <xdr:row>13</xdr:row>
      <xdr:rowOff>85726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7405B4F-3C83-4C19-9821-128AA91DDC15}"/>
            </a:ext>
          </a:extLst>
        </xdr:cNvPr>
        <xdr:cNvSpPr/>
      </xdr:nvSpPr>
      <xdr:spPr>
        <a:xfrm>
          <a:off x="9058274" y="1968501"/>
          <a:ext cx="2847975" cy="679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effiency</a:t>
          </a:r>
          <a:r>
            <a:rPr lang="en-US" sz="1100" b="1" baseline="0">
              <a:solidFill>
                <a:schemeClr val="tx1"/>
              </a:solidFill>
            </a:rPr>
            <a:t> can be bifurcated into through No Touch Point, call Centre, field team etc.</a:t>
          </a:r>
        </a:p>
        <a:p>
          <a:pPr algn="l"/>
          <a:endParaRPr lang="en-US" sz="11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0</xdr:colOff>
      <xdr:row>34</xdr:row>
      <xdr:rowOff>38100</xdr:rowOff>
    </xdr:from>
    <xdr:to>
      <xdr:col>14</xdr:col>
      <xdr:colOff>304800</xdr:colOff>
      <xdr:row>34</xdr:row>
      <xdr:rowOff>38100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98B57110-4E51-468F-83BA-FC1F2090B674}"/>
            </a:ext>
          </a:extLst>
        </xdr:cNvPr>
        <xdr:cNvCxnSpPr/>
      </xdr:nvCxnSpPr>
      <xdr:spPr>
        <a:xfrm>
          <a:off x="8801100" y="6762750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152400</xdr:rowOff>
    </xdr:from>
    <xdr:to>
      <xdr:col>12</xdr:col>
      <xdr:colOff>127705</xdr:colOff>
      <xdr:row>22</xdr:row>
      <xdr:rowOff>50800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0" y="3479800"/>
          <a:ext cx="10287705" cy="635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seucred book and unsecured book and then product wise Like Consumer Loan, Auto Loan, Micro Finance, Perosonal Loan, Housing Loan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165100</xdr:rowOff>
    </xdr:from>
    <xdr:to>
      <xdr:col>24</xdr:col>
      <xdr:colOff>304800</xdr:colOff>
      <xdr:row>2</xdr:row>
      <xdr:rowOff>165100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14020800" y="647700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400049</xdr:colOff>
      <xdr:row>1</xdr:row>
      <xdr:rowOff>295274</xdr:rowOff>
    </xdr:from>
    <xdr:to>
      <xdr:col>29</xdr:col>
      <xdr:colOff>162629</xdr:colOff>
      <xdr:row>8</xdr:row>
      <xdr:rowOff>28574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5030449" y="485774"/>
          <a:ext cx="2810580" cy="17811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then product wise</a:t>
          </a:r>
          <a:br>
            <a:rPr lang="en-US" sz="1100" b="1" baseline="0">
              <a:solidFill>
                <a:schemeClr val="tx1"/>
              </a:solidFill>
            </a:rPr>
          </a:br>
          <a:r>
            <a:rPr lang="en-US" sz="1100" b="1" baseline="0">
              <a:solidFill>
                <a:schemeClr val="tx1"/>
              </a:solidFill>
            </a:rPr>
            <a:t>Like Consumer Loan, Auto Loan, Micro Finance, Perosonal Loan, Housing Loan</a:t>
          </a:r>
          <a:br>
            <a:rPr lang="en-US" sz="1100" b="1" baseline="0">
              <a:solidFill>
                <a:schemeClr val="tx1"/>
              </a:solidFill>
            </a:rPr>
          </a:br>
          <a:endParaRPr lang="en-US" sz="1100" b="1" baseline="0">
            <a:solidFill>
              <a:schemeClr val="tx1"/>
            </a:solidFill>
          </a:endParaRPr>
        </a:p>
        <a:p>
          <a:pPr algn="l"/>
          <a:r>
            <a:rPr lang="en-US" sz="1100" b="1" baseline="0">
              <a:solidFill>
                <a:schemeClr val="tx1"/>
              </a:solidFill>
            </a:rPr>
            <a:t>Also needs to be tracked by Risk Category, age bracket, salaried/Self Employed, Model Score, tenor, location, states,Income band, DBR Band, Limit Band iscore, etc</a:t>
          </a:r>
        </a:p>
        <a:p>
          <a:pPr algn="l"/>
          <a:endParaRPr lang="en-US" sz="1100" b="1" baseline="0">
            <a:solidFill>
              <a:schemeClr val="tx1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406400</xdr:colOff>
      <xdr:row>8</xdr:row>
      <xdr:rowOff>177800</xdr:rowOff>
    </xdr:from>
    <xdr:to>
      <xdr:col>11</xdr:col>
      <xdr:colOff>101600</xdr:colOff>
      <xdr:row>8</xdr:row>
      <xdr:rowOff>177800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5892800" y="1651000"/>
          <a:ext cx="9144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6</xdr:row>
      <xdr:rowOff>120650</xdr:rowOff>
    </xdr:from>
    <xdr:to>
      <xdr:col>16</xdr:col>
      <xdr:colOff>486479</xdr:colOff>
      <xdr:row>15</xdr:row>
      <xdr:rowOff>25400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7467600" y="1206500"/>
          <a:ext cx="2772479" cy="15430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This Will</a:t>
          </a:r>
          <a:r>
            <a:rPr lang="en-US" sz="1100" b="1" baseline="0">
              <a:solidFill>
                <a:schemeClr val="tx1"/>
              </a:solidFill>
            </a:rPr>
            <a:t> be bifurcated by seucred book and unsecured book and then product wise</a:t>
          </a:r>
          <a:br>
            <a:rPr lang="en-US" sz="1100" b="1" baseline="0">
              <a:solidFill>
                <a:schemeClr val="tx1"/>
              </a:solidFill>
            </a:rPr>
          </a:br>
          <a:r>
            <a:rPr lang="en-US" sz="1100" b="1" baseline="0">
              <a:solidFill>
                <a:schemeClr val="tx1"/>
              </a:solidFill>
            </a:rPr>
            <a:t>Like Consumer Loan, Auto Loan, Micro Finance, Perosonal Loan, Housing Loan</a:t>
          </a:r>
          <a:br>
            <a:rPr lang="en-US" sz="1100" b="1" baseline="0">
              <a:solidFill>
                <a:schemeClr val="tx1"/>
              </a:solidFill>
            </a:rPr>
          </a:br>
          <a:r>
            <a:rPr lang="en-US" sz="1100" b="1" baseline="0">
              <a:solidFill>
                <a:schemeClr val="tx1"/>
              </a:solidFill>
            </a:rPr>
            <a:t>This is also need to be tracked tenor wise, Product type (Fresh Top Up &amp; Renewal), bureau wise etc.), program type,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Income band, DBR Band, Limit Band, location, pin code etc</a:t>
          </a:r>
          <a:endParaRPr lang="en-US" sz="1100" b="1" baseline="0">
            <a:solidFill>
              <a:schemeClr val="tx1"/>
            </a:solidFill>
          </a:endParaRPr>
        </a:p>
        <a:p>
          <a:pPr algn="l"/>
          <a:endParaRPr lang="en-US" sz="1100" b="1" baseline="0">
            <a:solidFill>
              <a:schemeClr val="tx1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iswajit Shukla" id="{C7DBF3BF-BB1A-4FEA-944E-CCBC5428E87A}" userId="S::b.shukla@maseeraholding.com::e62e34c0-acfb-4479-9ff5-0186032ea0a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6" dT="2025-05-27T10:54:44.71" personId="{C7DBF3BF-BB1A-4FEA-944E-CCBC5428E87A}" id="{93295024-B4F3-4F82-8571-6076E636A88A}">
    <text xml:space="preserve">(Total Collection Costs / Total Amount Collected) * 100% </text>
  </threadedComment>
  <threadedComment ref="A37" dT="2025-05-27T10:56:36.49" personId="{C7DBF3BF-BB1A-4FEA-944E-CCBC5428E87A}" id="{7DDF856E-D5BA-46C6-92A8-92DDEB51E3FF}">
    <text>Total collection costs divided by the number of delinquent accounts.
(Total Collection Costs / Number of Delinquent Accounts)</text>
  </threadedComment>
  <threadedComment ref="A38" dT="2025-05-27T10:57:54.28" personId="{C7DBF3BF-BB1A-4FEA-944E-CCBC5428E87A}" id="{045083F3-5E5D-4B75-9E02-FDEDEBDD4060}">
    <text xml:space="preserve">Number of complaints related to collection activities per 1000 accounts or as a percentage of interactions. </text>
  </threadedComment>
  <threadedComment ref="A39" dT="2025-05-27T10:59:32.62" personId="{C7DBF3BF-BB1A-4FEA-944E-CCBC5428E87A}" id="{1171364E-CB39-472D-8916-B67A0CD2D09C}">
    <text xml:space="preserve">The recovery rates achieved by external collection agencies (ECAs) against the commissions or fees paid to them.
Calculation: (Amount Collected by Agency / Fees Paid to Agency) or (Agency Fees / Amount Collected by Agency) * 100%
</text>
  </threadedComment>
  <threadedComment ref="A42" dT="2025-05-27T10:50:49.01" personId="{C7DBF3BF-BB1A-4FEA-944E-CCBC5428E87A}" id="{235211EB-A3ED-401A-921C-F5339CA81555}">
    <text xml:space="preserve">The number of calls, SMS, emails, or other contact attempts made per collector per hour </text>
  </threadedComment>
  <threadedComment ref="A43" dT="2025-05-27T10:51:50.10" personId="{C7DBF3BF-BB1A-4FEA-944E-CCBC5428E87A}" id="{AC3458B5-B889-4ECD-999B-2DEE5A067BF2}">
    <text xml:space="preserve">The percentage of attempts where the intended borrower (or an authorized party) was successfully contacted. 
Calculation: (Number of RPCs / Total Contact Attempts) * 100% </text>
  </threadedComment>
  <threadedComment ref="A44" dT="2025-05-27T10:52:33.18" personId="{C7DBF3BF-BB1A-4FEA-944E-CCBC5428E87A}" id="{0DE806D9-5AED-4316-B9B3-520E973E8614}">
    <text xml:space="preserve">The total amount collected divided by the number of collection agents (FTEs). </text>
  </threadedComment>
  <threadedComment ref="A45" dT="2025-05-27T10:52:55.21" personId="{C7DBF3BF-BB1A-4FEA-944E-CCBC5428E87A}" id="{DB8488EE-C7E9-4D54-AB8B-C66AFF492F52}">
    <text xml:space="preserve">The number of accounts assigned to each collection agent. </text>
  </threadedComment>
  <threadedComment ref="A46" dT="2025-05-27T10:53:26.78" personId="{C7DBF3BF-BB1A-4FEA-944E-CCBC5428E87A}" id="{112A26B4-1506-405F-9BC2-463DC00D24E9}">
    <text xml:space="preserve">Percentage of overdue accounts/amount collected through digital self-service channels (portals, apps, chatbots, IVR payments).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showGridLines="0" zoomScale="90" zoomScaleNormal="90" workbookViewId="0">
      <selection sqref="A1:H1"/>
    </sheetView>
  </sheetViews>
  <sheetFormatPr baseColWidth="10" defaultColWidth="8.83203125" defaultRowHeight="15" x14ac:dyDescent="0.2"/>
  <cols>
    <col min="1" max="1" width="20.33203125" customWidth="1"/>
    <col min="2" max="2" width="34.5" customWidth="1"/>
    <col min="8" max="8" width="11.83203125" bestFit="1" customWidth="1"/>
    <col min="12" max="12" width="19" bestFit="1" customWidth="1"/>
    <col min="13" max="13" width="15.83203125" customWidth="1"/>
    <col min="15" max="15" width="13.83203125" bestFit="1" customWidth="1"/>
    <col min="16" max="16" width="16.33203125" bestFit="1" customWidth="1"/>
  </cols>
  <sheetData>
    <row r="1" spans="1:16" x14ac:dyDescent="0.2">
      <c r="A1" s="318" t="s">
        <v>0</v>
      </c>
      <c r="B1" s="319"/>
      <c r="C1" s="319"/>
      <c r="D1" s="319"/>
      <c r="E1" s="319"/>
      <c r="F1" s="319"/>
      <c r="G1" s="319"/>
      <c r="H1" s="319"/>
      <c r="I1" s="11"/>
      <c r="L1" s="313" t="s">
        <v>1</v>
      </c>
      <c r="M1" s="313"/>
      <c r="O1" s="314" t="s">
        <v>2</v>
      </c>
      <c r="P1" s="314"/>
    </row>
    <row r="2" spans="1:16" ht="16.5" customHeight="1" x14ac:dyDescent="0.2">
      <c r="A2" s="8" t="s">
        <v>3</v>
      </c>
      <c r="B2" s="8" t="s">
        <v>4</v>
      </c>
      <c r="C2" s="9" t="s">
        <v>5</v>
      </c>
      <c r="D2" s="9" t="s">
        <v>6</v>
      </c>
      <c r="E2" s="9" t="s">
        <v>7</v>
      </c>
      <c r="F2" s="9" t="s">
        <v>8</v>
      </c>
      <c r="G2" s="9" t="s">
        <v>9</v>
      </c>
      <c r="H2" s="10" t="s">
        <v>10</v>
      </c>
      <c r="L2" s="12" t="s">
        <v>11</v>
      </c>
      <c r="M2" s="12" t="s">
        <v>12</v>
      </c>
      <c r="O2" s="12" t="s">
        <v>11</v>
      </c>
      <c r="P2" s="12" t="s">
        <v>12</v>
      </c>
    </row>
    <row r="3" spans="1:16" ht="17" x14ac:dyDescent="0.2">
      <c r="A3" s="317" t="s">
        <v>13</v>
      </c>
      <c r="B3" s="1" t="s">
        <v>14</v>
      </c>
      <c r="C3" s="2">
        <v>141.5</v>
      </c>
      <c r="D3" s="2">
        <v>176.7</v>
      </c>
      <c r="E3" s="2">
        <v>215</v>
      </c>
      <c r="F3" s="2">
        <v>261.39999999999998</v>
      </c>
      <c r="G3" s="2">
        <v>304.7</v>
      </c>
      <c r="H3" s="2"/>
      <c r="L3" s="12" t="s">
        <v>15</v>
      </c>
      <c r="M3" s="12">
        <v>200</v>
      </c>
      <c r="O3" s="12" t="s">
        <v>16</v>
      </c>
      <c r="P3" s="12">
        <v>200</v>
      </c>
    </row>
    <row r="4" spans="1:16" ht="17" x14ac:dyDescent="0.2">
      <c r="A4" s="315"/>
      <c r="B4" s="288" t="s">
        <v>17</v>
      </c>
      <c r="C4" s="2"/>
      <c r="D4" s="2"/>
      <c r="E4" s="2"/>
      <c r="F4" s="2"/>
      <c r="G4" s="2"/>
      <c r="H4" s="2"/>
      <c r="L4" s="12"/>
      <c r="M4" s="12"/>
      <c r="O4" s="12"/>
      <c r="P4" s="12"/>
    </row>
    <row r="5" spans="1:16" ht="17" x14ac:dyDescent="0.2">
      <c r="A5" s="315"/>
      <c r="B5" s="288" t="s">
        <v>18</v>
      </c>
      <c r="C5" s="2"/>
      <c r="D5" s="2"/>
      <c r="E5" s="2"/>
      <c r="F5" s="2"/>
      <c r="G5" s="2"/>
      <c r="H5" s="2"/>
      <c r="L5" s="12"/>
      <c r="M5" s="12"/>
      <c r="O5" s="12"/>
      <c r="P5" s="12"/>
    </row>
    <row r="6" spans="1:16" ht="14.25" customHeight="1" x14ac:dyDescent="0.2">
      <c r="A6" s="315"/>
      <c r="B6" s="1" t="s">
        <v>19</v>
      </c>
      <c r="C6" s="2">
        <v>35.5</v>
      </c>
      <c r="D6" s="2">
        <v>38.6</v>
      </c>
      <c r="E6" s="2">
        <v>42.8</v>
      </c>
      <c r="F6" s="2">
        <v>50.2</v>
      </c>
      <c r="G6" s="2">
        <v>50.7</v>
      </c>
      <c r="H6" s="2"/>
      <c r="L6" s="12" t="s">
        <v>20</v>
      </c>
      <c r="M6" s="12">
        <v>500</v>
      </c>
      <c r="O6" s="12" t="s">
        <v>21</v>
      </c>
      <c r="P6" s="12">
        <v>500</v>
      </c>
    </row>
    <row r="7" spans="1:16" ht="17" x14ac:dyDescent="0.2">
      <c r="A7" s="315"/>
      <c r="B7" s="1" t="s">
        <v>22</v>
      </c>
      <c r="C7" s="2">
        <v>17.399999999999999</v>
      </c>
      <c r="D7" s="2">
        <v>17.3</v>
      </c>
      <c r="E7" s="2">
        <v>17.2</v>
      </c>
      <c r="F7" s="2">
        <v>17.399999999999999</v>
      </c>
      <c r="G7" s="2">
        <v>17.899999999999999</v>
      </c>
      <c r="H7" s="2"/>
      <c r="O7" s="13" t="s">
        <v>23</v>
      </c>
      <c r="P7">
        <v>50</v>
      </c>
    </row>
    <row r="8" spans="1:16" ht="14.25" customHeight="1" x14ac:dyDescent="0.2">
      <c r="A8" s="315"/>
      <c r="B8" s="1" t="s">
        <v>24</v>
      </c>
      <c r="C8" s="2">
        <v>17.399999999999999</v>
      </c>
      <c r="D8" s="2">
        <v>17.3</v>
      </c>
      <c r="E8" s="2">
        <v>17.2</v>
      </c>
      <c r="F8" s="2">
        <v>17.399999999999999</v>
      </c>
      <c r="G8" s="2">
        <v>17.899999999999999</v>
      </c>
      <c r="H8" s="3"/>
      <c r="O8" s="13" t="s">
        <v>25</v>
      </c>
      <c r="P8">
        <v>75</v>
      </c>
    </row>
    <row r="9" spans="1:16" ht="14.25" customHeight="1" x14ac:dyDescent="0.2">
      <c r="A9" s="315"/>
      <c r="B9" s="1" t="s">
        <v>26</v>
      </c>
      <c r="C9" s="2">
        <v>37</v>
      </c>
      <c r="D9" s="2">
        <v>38</v>
      </c>
      <c r="E9" s="2">
        <v>38</v>
      </c>
      <c r="F9" s="2">
        <v>38</v>
      </c>
      <c r="G9" s="2">
        <v>38</v>
      </c>
      <c r="H9" s="3"/>
      <c r="O9" s="13" t="s">
        <v>27</v>
      </c>
      <c r="P9">
        <v>100</v>
      </c>
    </row>
    <row r="10" spans="1:16" ht="15" customHeight="1" x14ac:dyDescent="0.2">
      <c r="A10" s="316"/>
      <c r="B10" s="1" t="s">
        <v>28</v>
      </c>
      <c r="C10" s="2">
        <v>2.1</v>
      </c>
      <c r="D10" s="2">
        <v>2.2999999999999998</v>
      </c>
      <c r="E10" s="2">
        <v>2.2999999999999998</v>
      </c>
      <c r="F10" s="2">
        <v>2.2999999999999998</v>
      </c>
      <c r="G10" s="2">
        <v>2.2999999999999998</v>
      </c>
      <c r="H10" s="3"/>
    </row>
    <row r="11" spans="1:16" ht="17" x14ac:dyDescent="0.2">
      <c r="A11" s="317" t="s">
        <v>29</v>
      </c>
      <c r="B11" s="1" t="s">
        <v>30</v>
      </c>
      <c r="C11" s="4">
        <v>0.123</v>
      </c>
      <c r="D11" s="4">
        <v>0.107</v>
      </c>
      <c r="E11" s="4">
        <v>0.109</v>
      </c>
      <c r="F11" s="4">
        <v>9.6000000000000002E-2</v>
      </c>
      <c r="G11" s="4">
        <v>9.7000000000000003E-2</v>
      </c>
      <c r="H11" s="2" t="s">
        <v>31</v>
      </c>
    </row>
    <row r="12" spans="1:16" ht="16" customHeight="1" x14ac:dyDescent="0.2">
      <c r="A12" s="315"/>
      <c r="B12" s="1" t="s">
        <v>32</v>
      </c>
      <c r="C12" s="4">
        <v>1.4E-2</v>
      </c>
      <c r="D12" s="4">
        <v>1.0999999999999999E-2</v>
      </c>
      <c r="E12" s="4">
        <v>7.0000000000000001E-3</v>
      </c>
      <c r="F12" s="4">
        <v>1.4999999999999999E-2</v>
      </c>
      <c r="G12" s="4">
        <v>0.01</v>
      </c>
      <c r="H12" s="3"/>
    </row>
    <row r="13" spans="1:16" ht="16" customHeight="1" x14ac:dyDescent="0.2">
      <c r="A13" s="315"/>
      <c r="B13" s="1" t="s">
        <v>33</v>
      </c>
      <c r="C13" s="4"/>
      <c r="D13" s="4"/>
      <c r="E13" s="4"/>
      <c r="F13" s="4"/>
      <c r="G13" s="4"/>
      <c r="H13" s="3"/>
    </row>
    <row r="14" spans="1:16" ht="16" customHeight="1" x14ac:dyDescent="0.2">
      <c r="A14" s="303" t="s">
        <v>34</v>
      </c>
      <c r="B14" s="281" t="s">
        <v>35</v>
      </c>
      <c r="C14" s="273">
        <v>1</v>
      </c>
      <c r="D14" s="273">
        <v>1.25</v>
      </c>
      <c r="E14" s="273">
        <v>2.15</v>
      </c>
      <c r="F14" s="273">
        <v>2.11</v>
      </c>
      <c r="G14" s="273">
        <v>2.5299999999999998</v>
      </c>
      <c r="H14" s="3"/>
    </row>
    <row r="15" spans="1:16" ht="15.75" customHeight="1" x14ac:dyDescent="0.2">
      <c r="A15" s="303"/>
      <c r="B15" s="281" t="s">
        <v>36</v>
      </c>
      <c r="C15" s="4">
        <v>0.01</v>
      </c>
      <c r="D15" s="4">
        <v>8.0000000000000002E-3</v>
      </c>
      <c r="E15" s="4">
        <v>8.0000000000000002E-3</v>
      </c>
      <c r="F15" s="4">
        <v>8.0000000000000002E-3</v>
      </c>
      <c r="G15" s="4">
        <v>8.0000000000000002E-3</v>
      </c>
      <c r="H15" s="4">
        <v>7.0000000000000001E-3</v>
      </c>
    </row>
    <row r="16" spans="1:16" ht="17" x14ac:dyDescent="0.2">
      <c r="A16" s="303"/>
      <c r="B16" s="281" t="s">
        <v>37</v>
      </c>
      <c r="C16" s="4">
        <v>0.01</v>
      </c>
      <c r="D16" s="4">
        <v>8.0000000000000002E-3</v>
      </c>
      <c r="E16" s="4">
        <v>8.0000000000000002E-3</v>
      </c>
      <c r="F16" s="4">
        <v>8.0000000000000002E-3</v>
      </c>
      <c r="G16" s="4">
        <v>8.0000000000000002E-3</v>
      </c>
      <c r="H16" s="4"/>
    </row>
    <row r="17" spans="1:8" ht="17" x14ac:dyDescent="0.2">
      <c r="A17" s="303"/>
      <c r="B17" s="281" t="s">
        <v>38</v>
      </c>
      <c r="C17" s="4"/>
      <c r="D17" s="4"/>
      <c r="E17" s="4"/>
      <c r="F17" s="4"/>
      <c r="G17" s="4"/>
      <c r="H17" s="4"/>
    </row>
    <row r="18" spans="1:8" ht="15.75" customHeight="1" x14ac:dyDescent="0.2">
      <c r="A18" s="303"/>
      <c r="B18" s="281" t="s">
        <v>39</v>
      </c>
      <c r="C18" s="4">
        <v>4.2000000000000003E-2</v>
      </c>
      <c r="D18" s="4">
        <v>2.9000000000000001E-2</v>
      </c>
      <c r="E18" s="4">
        <v>3.5999999999999997E-2</v>
      </c>
      <c r="F18" s="4">
        <v>3.2000000000000001E-2</v>
      </c>
      <c r="G18" s="4">
        <v>3.6999999999999998E-2</v>
      </c>
      <c r="H18" s="3"/>
    </row>
    <row r="19" spans="1:8" ht="15.75" customHeight="1" x14ac:dyDescent="0.2">
      <c r="A19" s="303"/>
      <c r="B19" s="281" t="s">
        <v>40</v>
      </c>
      <c r="C19" s="2">
        <v>1.3</v>
      </c>
      <c r="D19" s="2">
        <v>1.2</v>
      </c>
      <c r="E19" s="2">
        <v>1.5</v>
      </c>
      <c r="F19" s="2">
        <v>1.6</v>
      </c>
      <c r="G19" s="2">
        <v>1.4</v>
      </c>
      <c r="H19" s="3"/>
    </row>
    <row r="20" spans="1:8" ht="17" x14ac:dyDescent="0.2">
      <c r="A20" s="303"/>
      <c r="B20" s="281" t="s">
        <v>41</v>
      </c>
      <c r="C20" s="4">
        <v>1.0999999999999999E-2</v>
      </c>
      <c r="D20" s="4">
        <v>1.4E-2</v>
      </c>
      <c r="E20" s="4">
        <v>1.0999999999999999E-2</v>
      </c>
      <c r="F20" s="4">
        <v>1.2999999999999999E-2</v>
      </c>
      <c r="G20" s="4">
        <v>1.4E-2</v>
      </c>
      <c r="H20" s="2"/>
    </row>
    <row r="21" spans="1:8" ht="17" x14ac:dyDescent="0.2">
      <c r="A21" s="303"/>
      <c r="B21" s="281" t="s">
        <v>42</v>
      </c>
      <c r="C21" s="2">
        <v>0.76</v>
      </c>
      <c r="D21" s="2">
        <v>0.77</v>
      </c>
      <c r="E21" s="2">
        <v>0.78</v>
      </c>
      <c r="F21" s="2">
        <v>0.88</v>
      </c>
      <c r="G21" s="2">
        <v>0.92</v>
      </c>
      <c r="H21" s="2"/>
    </row>
    <row r="22" spans="1:8" ht="17" x14ac:dyDescent="0.2">
      <c r="A22" s="303"/>
      <c r="B22" s="281" t="s">
        <v>43</v>
      </c>
      <c r="C22" s="4">
        <v>1.0999999999999999E-2</v>
      </c>
      <c r="D22" s="4">
        <v>1.4E-2</v>
      </c>
      <c r="E22" s="4">
        <v>1.0999999999999999E-2</v>
      </c>
      <c r="F22" s="4">
        <v>1.2999999999999999E-2</v>
      </c>
      <c r="G22" s="4">
        <v>1.4E-2</v>
      </c>
      <c r="H22" s="2"/>
    </row>
    <row r="23" spans="1:8" ht="17" x14ac:dyDescent="0.2">
      <c r="A23" s="303"/>
      <c r="B23" s="281" t="s">
        <v>44</v>
      </c>
      <c r="C23" s="2">
        <v>0.33</v>
      </c>
      <c r="D23" s="2">
        <v>0.36</v>
      </c>
      <c r="E23" s="2">
        <v>0.45</v>
      </c>
      <c r="F23" s="2">
        <v>0.55000000000000004</v>
      </c>
      <c r="G23" s="2">
        <v>0.6</v>
      </c>
      <c r="H23" s="2"/>
    </row>
    <row r="24" spans="1:8" ht="15.75" customHeight="1" x14ac:dyDescent="0.2">
      <c r="A24" s="303"/>
      <c r="B24" s="281" t="s">
        <v>45</v>
      </c>
      <c r="C24" s="4">
        <v>2E-3</v>
      </c>
      <c r="D24" s="4">
        <v>2E-3</v>
      </c>
      <c r="E24" s="4">
        <v>2E-3</v>
      </c>
      <c r="F24" s="4">
        <v>3.0000000000000001E-3</v>
      </c>
      <c r="G24" s="4">
        <v>4.0000000000000001E-3</v>
      </c>
      <c r="H24" s="2"/>
    </row>
    <row r="25" spans="1:8" ht="15.75" customHeight="1" x14ac:dyDescent="0.2">
      <c r="A25" s="303"/>
      <c r="B25" s="281" t="s">
        <v>46</v>
      </c>
      <c r="C25" s="2">
        <v>0.15</v>
      </c>
      <c r="D25" s="2">
        <v>0.21</v>
      </c>
      <c r="E25" s="2">
        <v>0.26</v>
      </c>
      <c r="F25" s="2">
        <v>0.25</v>
      </c>
      <c r="G25" s="2">
        <v>0.31</v>
      </c>
      <c r="H25" s="2"/>
    </row>
    <row r="26" spans="1:8" ht="15.75" customHeight="1" x14ac:dyDescent="0.2">
      <c r="A26" s="303"/>
      <c r="B26" s="281" t="s">
        <v>47</v>
      </c>
      <c r="C26" s="2">
        <v>0.3</v>
      </c>
      <c r="D26" s="2">
        <v>0.2</v>
      </c>
      <c r="E26" s="2">
        <v>0.3</v>
      </c>
      <c r="F26" s="2">
        <v>0.6</v>
      </c>
      <c r="G26" s="2">
        <v>0.9</v>
      </c>
      <c r="H26" s="2"/>
    </row>
    <row r="27" spans="1:8" ht="15.75" customHeight="1" x14ac:dyDescent="0.2">
      <c r="A27" s="303"/>
      <c r="B27" s="281" t="s">
        <v>48</v>
      </c>
      <c r="C27" s="2"/>
      <c r="D27" s="2"/>
      <c r="E27" s="2"/>
      <c r="F27" s="2"/>
      <c r="G27" s="2"/>
      <c r="H27" s="2"/>
    </row>
    <row r="28" spans="1:8" ht="15.75" customHeight="1" x14ac:dyDescent="0.2">
      <c r="A28" s="303"/>
      <c r="B28" s="281" t="s">
        <v>49</v>
      </c>
      <c r="C28" s="2"/>
      <c r="D28" s="2"/>
      <c r="E28" s="2"/>
      <c r="F28" s="2"/>
      <c r="G28" s="2"/>
      <c r="H28" s="2"/>
    </row>
    <row r="29" spans="1:8" ht="15.75" customHeight="1" x14ac:dyDescent="0.2">
      <c r="A29" s="303"/>
      <c r="B29" s="281" t="s">
        <v>50</v>
      </c>
      <c r="C29" s="2"/>
      <c r="D29" s="2"/>
      <c r="E29" s="2"/>
      <c r="F29" s="2"/>
      <c r="G29" s="2"/>
      <c r="H29" s="2"/>
    </row>
    <row r="30" spans="1:8" ht="15.75" customHeight="1" x14ac:dyDescent="0.2">
      <c r="A30" s="303"/>
      <c r="B30" s="281" t="s">
        <v>51</v>
      </c>
      <c r="C30" s="2"/>
      <c r="D30" s="2"/>
      <c r="E30" s="2"/>
      <c r="F30" s="2"/>
      <c r="G30" s="2"/>
      <c r="H30" s="2"/>
    </row>
    <row r="31" spans="1:8" ht="17" x14ac:dyDescent="0.2">
      <c r="A31" s="303"/>
      <c r="B31" s="281" t="s">
        <v>52</v>
      </c>
      <c r="C31" s="274">
        <v>1.0999999999999999E-2</v>
      </c>
      <c r="D31" s="274">
        <v>1.2E-2</v>
      </c>
      <c r="E31" s="274">
        <v>1.0500000000000001E-2</v>
      </c>
      <c r="F31" s="274">
        <v>1.1299999999999999E-2</v>
      </c>
      <c r="G31" s="274">
        <v>1.18E-2</v>
      </c>
      <c r="H31" s="2"/>
    </row>
    <row r="32" spans="1:8" ht="15.75" customHeight="1" x14ac:dyDescent="0.2">
      <c r="A32" s="315" t="s">
        <v>53</v>
      </c>
      <c r="B32" s="1" t="s">
        <v>54</v>
      </c>
      <c r="C32" s="4">
        <v>4.2999999999999997E-2</v>
      </c>
      <c r="D32" s="4">
        <v>0.02</v>
      </c>
      <c r="E32" s="4">
        <v>3.1E-2</v>
      </c>
      <c r="F32" s="5">
        <v>2.4E-2</v>
      </c>
      <c r="G32" s="5">
        <v>2.7E-2</v>
      </c>
      <c r="H32" s="2"/>
    </row>
    <row r="33" spans="1:8" ht="17" x14ac:dyDescent="0.2">
      <c r="A33" s="315"/>
      <c r="B33" s="1" t="s">
        <v>55</v>
      </c>
      <c r="C33" s="4">
        <v>0.126</v>
      </c>
      <c r="D33" s="4">
        <v>0.35</v>
      </c>
      <c r="E33" s="4">
        <v>0.48599999999999999</v>
      </c>
      <c r="F33" s="4">
        <v>0.311</v>
      </c>
      <c r="G33" s="4">
        <v>0.41</v>
      </c>
      <c r="H33" s="2"/>
    </row>
    <row r="34" spans="1:8" ht="17" x14ac:dyDescent="0.2">
      <c r="A34" s="315"/>
      <c r="B34" s="1" t="s">
        <v>56</v>
      </c>
      <c r="C34" s="4">
        <v>0.126</v>
      </c>
      <c r="D34" s="4">
        <v>0.35</v>
      </c>
      <c r="E34" s="4">
        <v>0.48599999999999999</v>
      </c>
      <c r="F34" s="4">
        <v>0.311</v>
      </c>
      <c r="G34" s="4">
        <v>0.41</v>
      </c>
      <c r="H34" s="2"/>
    </row>
    <row r="35" spans="1:8" ht="17" x14ac:dyDescent="0.2">
      <c r="A35" s="315"/>
      <c r="B35" s="1" t="s">
        <v>57</v>
      </c>
      <c r="C35" s="4">
        <v>0.126</v>
      </c>
      <c r="D35" s="4">
        <v>0.35</v>
      </c>
      <c r="E35" s="4">
        <v>0.48599999999999999</v>
      </c>
      <c r="F35" s="4">
        <v>0.311</v>
      </c>
      <c r="G35" s="4">
        <v>0.41</v>
      </c>
      <c r="H35" s="2"/>
    </row>
    <row r="36" spans="1:8" ht="17" x14ac:dyDescent="0.2">
      <c r="A36" s="315"/>
      <c r="B36" s="1" t="s">
        <v>58</v>
      </c>
      <c r="C36" s="4"/>
      <c r="D36" s="4"/>
      <c r="E36" s="4"/>
      <c r="F36" s="4"/>
      <c r="G36" s="4"/>
      <c r="H36" s="2"/>
    </row>
    <row r="37" spans="1:8" ht="15" customHeight="1" x14ac:dyDescent="0.2">
      <c r="A37" s="316"/>
      <c r="B37" s="1" t="s">
        <v>59</v>
      </c>
      <c r="C37" s="4">
        <v>1.403</v>
      </c>
      <c r="D37" s="4">
        <v>0.95299999999999996</v>
      </c>
      <c r="E37" s="4">
        <v>0.375</v>
      </c>
      <c r="F37" s="4">
        <v>0.74099999999999999</v>
      </c>
      <c r="G37" s="5">
        <v>0.64800000000000002</v>
      </c>
      <c r="H37" s="2"/>
    </row>
    <row r="38" spans="1:8" ht="17.25" customHeight="1" x14ac:dyDescent="0.2">
      <c r="A38" s="317" t="s">
        <v>60</v>
      </c>
      <c r="B38" s="1" t="s">
        <v>61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3"/>
    </row>
    <row r="39" spans="1:8" ht="17.25" customHeight="1" x14ac:dyDescent="0.2">
      <c r="A39" s="315"/>
      <c r="B39" s="1" t="s">
        <v>62</v>
      </c>
      <c r="C39" s="2"/>
      <c r="D39" s="2"/>
      <c r="E39" s="2"/>
      <c r="F39" s="2"/>
      <c r="G39" s="2"/>
      <c r="H39" s="3"/>
    </row>
    <row r="40" spans="1:8" ht="17" x14ac:dyDescent="0.2">
      <c r="A40" s="315"/>
      <c r="B40" s="1" t="s">
        <v>63</v>
      </c>
      <c r="C40" s="4">
        <v>7.6999999999999999E-2</v>
      </c>
      <c r="D40" s="4">
        <v>8.1000000000000003E-2</v>
      </c>
      <c r="E40" s="4">
        <v>9.0999999999999998E-2</v>
      </c>
      <c r="F40" s="6">
        <v>9.8000000000000004E-2</v>
      </c>
      <c r="G40" s="6">
        <v>0.1</v>
      </c>
      <c r="H40" s="2" t="s">
        <v>64</v>
      </c>
    </row>
    <row r="41" spans="1:8" ht="17" x14ac:dyDescent="0.2">
      <c r="A41" s="315"/>
      <c r="B41" s="1" t="s">
        <v>65</v>
      </c>
      <c r="C41" s="4"/>
      <c r="D41" s="4"/>
      <c r="E41" s="4"/>
      <c r="F41" s="6"/>
      <c r="G41" s="6"/>
      <c r="H41" s="2"/>
    </row>
    <row r="42" spans="1:8" ht="17" x14ac:dyDescent="0.2">
      <c r="A42" s="315"/>
      <c r="B42" s="1" t="s">
        <v>66</v>
      </c>
      <c r="C42" s="2" t="s">
        <v>67</v>
      </c>
      <c r="D42" s="2" t="s">
        <v>67</v>
      </c>
      <c r="E42" s="2" t="s">
        <v>67</v>
      </c>
      <c r="F42" s="2" t="s">
        <v>67</v>
      </c>
      <c r="G42" s="2"/>
      <c r="H42" s="2"/>
    </row>
    <row r="43" spans="1:8" ht="17" x14ac:dyDescent="0.2">
      <c r="A43" s="303" t="s">
        <v>68</v>
      </c>
      <c r="B43" s="281" t="s">
        <v>69</v>
      </c>
      <c r="C43" s="4"/>
      <c r="D43" s="4"/>
      <c r="E43" s="4"/>
      <c r="F43" s="4"/>
      <c r="G43" s="4"/>
      <c r="H43" s="2"/>
    </row>
    <row r="44" spans="1:8" ht="17" x14ac:dyDescent="0.2">
      <c r="A44" s="303"/>
      <c r="B44" s="281" t="s">
        <v>70</v>
      </c>
      <c r="C44" s="4"/>
      <c r="D44" s="4"/>
      <c r="E44" s="4"/>
      <c r="F44" s="4"/>
      <c r="G44" s="4"/>
      <c r="H44" s="2"/>
    </row>
    <row r="45" spans="1:8" ht="17" x14ac:dyDescent="0.2">
      <c r="A45" s="303"/>
      <c r="B45" s="281" t="s">
        <v>71</v>
      </c>
      <c r="C45" s="4"/>
      <c r="D45" s="4"/>
      <c r="E45" s="4"/>
      <c r="F45" s="4"/>
      <c r="G45" s="4"/>
      <c r="H45" s="2"/>
    </row>
    <row r="46" spans="1:8" ht="17" x14ac:dyDescent="0.2">
      <c r="A46" s="303"/>
      <c r="B46" s="281" t="s">
        <v>70</v>
      </c>
      <c r="C46" s="4"/>
      <c r="D46" s="4"/>
      <c r="E46" s="4"/>
      <c r="F46" s="4"/>
      <c r="G46" s="4"/>
      <c r="H46" s="2"/>
    </row>
    <row r="47" spans="1:8" ht="17" x14ac:dyDescent="0.2">
      <c r="A47" s="303"/>
      <c r="B47" s="281" t="s">
        <v>72</v>
      </c>
      <c r="C47" s="4"/>
      <c r="D47" s="4"/>
      <c r="E47" s="4"/>
      <c r="F47" s="4"/>
      <c r="G47" s="4"/>
      <c r="H47" s="2"/>
    </row>
    <row r="48" spans="1:8" ht="17" x14ac:dyDescent="0.2">
      <c r="A48" s="303"/>
      <c r="B48" s="281" t="s">
        <v>70</v>
      </c>
      <c r="C48" s="4"/>
      <c r="D48" s="4"/>
      <c r="E48" s="4"/>
      <c r="F48" s="4"/>
      <c r="G48" s="4"/>
      <c r="H48" s="2"/>
    </row>
    <row r="49" spans="3:8" ht="16" x14ac:dyDescent="0.2">
      <c r="C49" s="4"/>
      <c r="D49" s="4"/>
      <c r="E49" s="4"/>
      <c r="F49" s="4"/>
      <c r="G49" s="4"/>
      <c r="H49" s="2"/>
    </row>
    <row r="66" spans="1:14" x14ac:dyDescent="0.2">
      <c r="N66" t="s">
        <v>73</v>
      </c>
    </row>
    <row r="75" spans="1:14" ht="16" thickBot="1" x14ac:dyDescent="0.25"/>
    <row r="76" spans="1:14" ht="14.5" customHeight="1" x14ac:dyDescent="0.2">
      <c r="A76" s="304" t="s">
        <v>74</v>
      </c>
      <c r="B76" s="305"/>
      <c r="C76" s="305"/>
      <c r="D76" s="305"/>
      <c r="E76" s="305"/>
      <c r="F76" s="305"/>
      <c r="G76" s="305"/>
      <c r="H76" s="305"/>
      <c r="I76" s="305"/>
      <c r="J76" s="306"/>
    </row>
    <row r="77" spans="1:14" x14ac:dyDescent="0.2">
      <c r="A77" s="307"/>
      <c r="B77" s="308"/>
      <c r="C77" s="308"/>
      <c r="D77" s="308"/>
      <c r="E77" s="308"/>
      <c r="F77" s="308"/>
      <c r="G77" s="308"/>
      <c r="H77" s="308"/>
      <c r="I77" s="308"/>
      <c r="J77" s="309"/>
    </row>
    <row r="78" spans="1:14" x14ac:dyDescent="0.2">
      <c r="A78" s="307"/>
      <c r="B78" s="308"/>
      <c r="C78" s="308"/>
      <c r="D78" s="308"/>
      <c r="E78" s="308"/>
      <c r="F78" s="308"/>
      <c r="G78" s="308"/>
      <c r="H78" s="308"/>
      <c r="I78" s="308"/>
      <c r="J78" s="309"/>
    </row>
    <row r="79" spans="1:14" x14ac:dyDescent="0.2">
      <c r="A79" s="307"/>
      <c r="B79" s="308"/>
      <c r="C79" s="308"/>
      <c r="D79" s="308"/>
      <c r="E79" s="308"/>
      <c r="F79" s="308"/>
      <c r="G79" s="308"/>
      <c r="H79" s="308"/>
      <c r="I79" s="308"/>
      <c r="J79" s="309"/>
    </row>
    <row r="80" spans="1:14" x14ac:dyDescent="0.2">
      <c r="A80" s="307"/>
      <c r="B80" s="308"/>
      <c r="C80" s="308"/>
      <c r="D80" s="308"/>
      <c r="E80" s="308"/>
      <c r="F80" s="308"/>
      <c r="G80" s="308"/>
      <c r="H80" s="308"/>
      <c r="I80" s="308"/>
      <c r="J80" s="309"/>
    </row>
    <row r="81" spans="1:10" x14ac:dyDescent="0.2">
      <c r="A81" s="307"/>
      <c r="B81" s="308"/>
      <c r="C81" s="308"/>
      <c r="D81" s="308"/>
      <c r="E81" s="308"/>
      <c r="F81" s="308"/>
      <c r="G81" s="308"/>
      <c r="H81" s="308"/>
      <c r="I81" s="308"/>
      <c r="J81" s="309"/>
    </row>
    <row r="82" spans="1:10" x14ac:dyDescent="0.2">
      <c r="A82" s="307"/>
      <c r="B82" s="308"/>
      <c r="C82" s="308"/>
      <c r="D82" s="308"/>
      <c r="E82" s="308"/>
      <c r="F82" s="308"/>
      <c r="G82" s="308"/>
      <c r="H82" s="308"/>
      <c r="I82" s="308"/>
      <c r="J82" s="309"/>
    </row>
    <row r="83" spans="1:10" x14ac:dyDescent="0.2">
      <c r="A83" s="307"/>
      <c r="B83" s="308"/>
      <c r="C83" s="308"/>
      <c r="D83" s="308"/>
      <c r="E83" s="308"/>
      <c r="F83" s="308"/>
      <c r="G83" s="308"/>
      <c r="H83" s="308"/>
      <c r="I83" s="308"/>
      <c r="J83" s="309"/>
    </row>
    <row r="84" spans="1:10" x14ac:dyDescent="0.2">
      <c r="A84" s="307"/>
      <c r="B84" s="308"/>
      <c r="C84" s="308"/>
      <c r="D84" s="308"/>
      <c r="E84" s="308"/>
      <c r="F84" s="308"/>
      <c r="G84" s="308"/>
      <c r="H84" s="308"/>
      <c r="I84" s="308"/>
      <c r="J84" s="309"/>
    </row>
    <row r="85" spans="1:10" x14ac:dyDescent="0.2">
      <c r="A85" s="307"/>
      <c r="B85" s="308"/>
      <c r="C85" s="308"/>
      <c r="D85" s="308"/>
      <c r="E85" s="308"/>
      <c r="F85" s="308"/>
      <c r="G85" s="308"/>
      <c r="H85" s="308"/>
      <c r="I85" s="308"/>
      <c r="J85" s="309"/>
    </row>
    <row r="86" spans="1:10" x14ac:dyDescent="0.2">
      <c r="A86" s="307"/>
      <c r="B86" s="308"/>
      <c r="C86" s="308"/>
      <c r="D86" s="308"/>
      <c r="E86" s="308"/>
      <c r="F86" s="308"/>
      <c r="G86" s="308"/>
      <c r="H86" s="308"/>
      <c r="I86" s="308"/>
      <c r="J86" s="309"/>
    </row>
    <row r="87" spans="1:10" x14ac:dyDescent="0.2">
      <c r="A87" s="307"/>
      <c r="B87" s="308"/>
      <c r="C87" s="308"/>
      <c r="D87" s="308"/>
      <c r="E87" s="308"/>
      <c r="F87" s="308"/>
      <c r="G87" s="308"/>
      <c r="H87" s="308"/>
      <c r="I87" s="308"/>
      <c r="J87" s="309"/>
    </row>
    <row r="88" spans="1:10" ht="16" thickBot="1" x14ac:dyDescent="0.25">
      <c r="A88" s="310"/>
      <c r="B88" s="311"/>
      <c r="C88" s="311"/>
      <c r="D88" s="311"/>
      <c r="E88" s="311"/>
      <c r="F88" s="311"/>
      <c r="G88" s="311"/>
      <c r="H88" s="311"/>
      <c r="I88" s="311"/>
      <c r="J88" s="312"/>
    </row>
  </sheetData>
  <mergeCells count="10">
    <mergeCell ref="A43:A48"/>
    <mergeCell ref="A14:A31"/>
    <mergeCell ref="A76:J88"/>
    <mergeCell ref="L1:M1"/>
    <mergeCell ref="O1:P1"/>
    <mergeCell ref="A32:A37"/>
    <mergeCell ref="A38:A42"/>
    <mergeCell ref="A3:A10"/>
    <mergeCell ref="A1:H1"/>
    <mergeCell ref="A11:A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00120-331F-4B95-8584-7C583BF23C26}">
  <dimension ref="A1:P239"/>
  <sheetViews>
    <sheetView topLeftCell="A240" workbookViewId="0">
      <selection activeCell="C47" sqref="C2:C47"/>
    </sheetView>
  </sheetViews>
  <sheetFormatPr baseColWidth="10" defaultColWidth="8.83203125" defaultRowHeight="15" x14ac:dyDescent="0.2"/>
  <cols>
    <col min="1" max="1" width="18.5" customWidth="1"/>
    <col min="2" max="2" width="20.83203125" customWidth="1"/>
    <col min="3" max="3" width="35.33203125" customWidth="1"/>
  </cols>
  <sheetData>
    <row r="1" spans="1:16" ht="34" x14ac:dyDescent="0.2">
      <c r="A1" s="320" t="s">
        <v>21</v>
      </c>
      <c r="B1" s="289" t="s">
        <v>3</v>
      </c>
      <c r="C1" s="14" t="s">
        <v>4</v>
      </c>
      <c r="D1" s="15" t="s">
        <v>5</v>
      </c>
      <c r="E1" s="15" t="s">
        <v>6</v>
      </c>
      <c r="F1" s="15" t="s">
        <v>7</v>
      </c>
      <c r="G1" s="15" t="s">
        <v>8</v>
      </c>
      <c r="H1" s="15" t="s">
        <v>9</v>
      </c>
      <c r="I1" s="16" t="s">
        <v>10</v>
      </c>
    </row>
    <row r="2" spans="1:16" ht="17" x14ac:dyDescent="0.2">
      <c r="A2" s="320"/>
      <c r="B2" s="327" t="s">
        <v>13</v>
      </c>
      <c r="C2" s="1" t="s">
        <v>12</v>
      </c>
      <c r="D2" s="2">
        <v>141.5</v>
      </c>
      <c r="E2" s="2">
        <v>176.7</v>
      </c>
      <c r="F2" s="2">
        <v>215</v>
      </c>
      <c r="G2" s="2">
        <v>261.39999999999998</v>
      </c>
      <c r="H2" s="2">
        <v>304.7</v>
      </c>
      <c r="I2" s="2"/>
    </row>
    <row r="3" spans="1:16" ht="17" x14ac:dyDescent="0.2">
      <c r="A3" s="320"/>
      <c r="B3" s="328"/>
      <c r="C3" s="288" t="s">
        <v>17</v>
      </c>
      <c r="D3" s="2"/>
      <c r="E3" s="2"/>
      <c r="F3" s="2"/>
      <c r="G3" s="2"/>
      <c r="H3" s="2"/>
      <c r="I3" s="2"/>
      <c r="L3" s="12"/>
      <c r="M3" s="12"/>
      <c r="O3" s="12"/>
      <c r="P3" s="12"/>
    </row>
    <row r="4" spans="1:16" ht="17" x14ac:dyDescent="0.2">
      <c r="A4" s="320"/>
      <c r="B4" s="328"/>
      <c r="C4" s="288" t="s">
        <v>18</v>
      </c>
      <c r="D4" s="2"/>
      <c r="E4" s="2"/>
      <c r="F4" s="2"/>
      <c r="G4" s="2"/>
      <c r="H4" s="2"/>
      <c r="I4" s="2"/>
      <c r="L4" s="12"/>
      <c r="M4" s="12"/>
      <c r="O4" s="12"/>
      <c r="P4" s="12"/>
    </row>
    <row r="5" spans="1:16" ht="17" x14ac:dyDescent="0.2">
      <c r="A5" s="320"/>
      <c r="B5" s="328"/>
      <c r="C5" s="1" t="s">
        <v>19</v>
      </c>
      <c r="D5" s="2">
        <v>35.5</v>
      </c>
      <c r="E5" s="2">
        <v>38.6</v>
      </c>
      <c r="F5" s="2">
        <v>42.8</v>
      </c>
      <c r="G5" s="2">
        <v>50.2</v>
      </c>
      <c r="H5" s="2">
        <v>50.7</v>
      </c>
      <c r="I5" s="2"/>
    </row>
    <row r="6" spans="1:16" ht="17" x14ac:dyDescent="0.2">
      <c r="A6" s="320"/>
      <c r="B6" s="328"/>
      <c r="C6" s="1" t="s">
        <v>22</v>
      </c>
      <c r="D6" s="2">
        <v>17.399999999999999</v>
      </c>
      <c r="E6" s="2">
        <v>17.3</v>
      </c>
      <c r="F6" s="2">
        <v>17.2</v>
      </c>
      <c r="G6" s="2">
        <v>17.399999999999999</v>
      </c>
      <c r="H6" s="2">
        <v>17.899999999999999</v>
      </c>
      <c r="I6" s="2"/>
    </row>
    <row r="7" spans="1:16" ht="16.5" customHeight="1" x14ac:dyDescent="0.2">
      <c r="A7" s="320"/>
      <c r="B7" s="328"/>
      <c r="C7" s="1" t="s">
        <v>24</v>
      </c>
      <c r="D7" s="2">
        <v>17.399999999999999</v>
      </c>
      <c r="E7" s="2">
        <v>17.3</v>
      </c>
      <c r="F7" s="2">
        <v>17.2</v>
      </c>
      <c r="G7" s="2">
        <v>17.399999999999999</v>
      </c>
      <c r="H7" s="2">
        <v>17.899999999999999</v>
      </c>
      <c r="I7" s="3"/>
    </row>
    <row r="8" spans="1:16" ht="14.5" customHeight="1" x14ac:dyDescent="0.2">
      <c r="A8" s="320"/>
      <c r="B8" s="328"/>
      <c r="C8" s="1" t="s">
        <v>75</v>
      </c>
      <c r="D8" s="2">
        <v>37</v>
      </c>
      <c r="E8" s="2">
        <v>38</v>
      </c>
      <c r="F8" s="2">
        <v>38</v>
      </c>
      <c r="G8" s="2">
        <v>38</v>
      </c>
      <c r="H8" s="2">
        <v>38</v>
      </c>
      <c r="I8" s="3"/>
    </row>
    <row r="9" spans="1:16" ht="14.25" customHeight="1" x14ac:dyDescent="0.2">
      <c r="A9" s="320"/>
      <c r="B9" s="329"/>
      <c r="C9" s="1" t="s">
        <v>28</v>
      </c>
      <c r="D9" s="2">
        <v>2.1</v>
      </c>
      <c r="E9" s="2">
        <v>2.2999999999999998</v>
      </c>
      <c r="F9" s="2">
        <v>2.2999999999999998</v>
      </c>
      <c r="G9" s="2">
        <v>2.2999999999999998</v>
      </c>
      <c r="H9" s="2">
        <v>2.2999999999999998</v>
      </c>
      <c r="I9" s="3"/>
    </row>
    <row r="10" spans="1:16" ht="17" x14ac:dyDescent="0.2">
      <c r="A10" s="320"/>
      <c r="B10" s="327" t="s">
        <v>29</v>
      </c>
      <c r="C10" s="1" t="s">
        <v>30</v>
      </c>
      <c r="D10" s="4">
        <v>0.123</v>
      </c>
      <c r="E10" s="4">
        <v>0.107</v>
      </c>
      <c r="F10" s="4">
        <v>0.109</v>
      </c>
      <c r="G10" s="4">
        <v>9.6000000000000002E-2</v>
      </c>
      <c r="H10" s="4">
        <v>9.7000000000000003E-2</v>
      </c>
      <c r="I10" s="2" t="s">
        <v>31</v>
      </c>
    </row>
    <row r="11" spans="1:16" ht="16.5" customHeight="1" x14ac:dyDescent="0.2">
      <c r="A11" s="320"/>
      <c r="B11" s="328"/>
      <c r="C11" s="1" t="s">
        <v>76</v>
      </c>
      <c r="D11" s="4">
        <v>1.4E-2</v>
      </c>
      <c r="E11" s="4">
        <v>1.0999999999999999E-2</v>
      </c>
      <c r="F11" s="4">
        <v>7.0000000000000001E-3</v>
      </c>
      <c r="G11" s="4">
        <v>1.4999999999999999E-2</v>
      </c>
      <c r="H11" s="5">
        <v>0.01</v>
      </c>
      <c r="I11" s="3"/>
    </row>
    <row r="12" spans="1:16" ht="16.5" customHeight="1" x14ac:dyDescent="0.2">
      <c r="A12" s="320"/>
      <c r="B12" s="328"/>
      <c r="C12" s="1" t="s">
        <v>33</v>
      </c>
      <c r="D12" s="4"/>
      <c r="E12" s="4"/>
      <c r="F12" s="4"/>
      <c r="G12" s="4"/>
      <c r="H12" s="4"/>
      <c r="I12" s="3"/>
    </row>
    <row r="13" spans="1:16" ht="16.5" customHeight="1" x14ac:dyDescent="0.2">
      <c r="A13" s="320"/>
      <c r="B13" s="328" t="s">
        <v>34</v>
      </c>
      <c r="C13" s="1" t="s">
        <v>35</v>
      </c>
      <c r="D13" s="4"/>
      <c r="E13" s="4"/>
      <c r="F13" s="4"/>
      <c r="G13" s="4"/>
      <c r="H13" s="5"/>
      <c r="I13" s="3"/>
    </row>
    <row r="14" spans="1:16" ht="15.75" customHeight="1" x14ac:dyDescent="0.2">
      <c r="A14" s="320"/>
      <c r="B14" s="328"/>
      <c r="C14" s="1" t="s">
        <v>36</v>
      </c>
      <c r="D14" s="4">
        <v>0.01</v>
      </c>
      <c r="E14" s="4">
        <v>8.0000000000000002E-3</v>
      </c>
      <c r="F14" s="4">
        <v>8.0000000000000002E-3</v>
      </c>
      <c r="G14" s="4">
        <v>8.0000000000000002E-3</v>
      </c>
      <c r="H14" s="4">
        <v>8.0000000000000002E-3</v>
      </c>
      <c r="I14" s="4">
        <v>7.0000000000000001E-3</v>
      </c>
    </row>
    <row r="15" spans="1:16" ht="16" x14ac:dyDescent="0.2">
      <c r="A15" s="320"/>
      <c r="B15" s="328"/>
      <c r="C15" t="s">
        <v>37</v>
      </c>
      <c r="D15" s="4">
        <v>0.01</v>
      </c>
      <c r="E15" s="4">
        <v>8.0000000000000002E-3</v>
      </c>
      <c r="F15" s="4">
        <v>8.0000000000000002E-3</v>
      </c>
      <c r="G15" s="4">
        <v>8.0000000000000002E-3</v>
      </c>
      <c r="H15" s="4">
        <v>8.0000000000000002E-3</v>
      </c>
      <c r="I15" s="4"/>
    </row>
    <row r="16" spans="1:16" ht="17" x14ac:dyDescent="0.2">
      <c r="A16" s="320"/>
      <c r="B16" s="328"/>
      <c r="C16" s="281" t="s">
        <v>38</v>
      </c>
      <c r="D16" s="4"/>
      <c r="E16" s="4"/>
      <c r="F16" s="4"/>
      <c r="G16" s="4"/>
      <c r="H16" s="4"/>
      <c r="I16" s="4"/>
    </row>
    <row r="17" spans="1:9" ht="15" customHeight="1" x14ac:dyDescent="0.2">
      <c r="A17" s="320"/>
      <c r="B17" s="328"/>
      <c r="C17" s="1" t="s">
        <v>39</v>
      </c>
      <c r="D17" s="4">
        <v>4.2000000000000003E-2</v>
      </c>
      <c r="E17" s="4">
        <v>2.9000000000000001E-2</v>
      </c>
      <c r="F17" s="4">
        <v>3.5999999999999997E-2</v>
      </c>
      <c r="G17" s="4">
        <v>3.2000000000000001E-2</v>
      </c>
      <c r="H17" s="4">
        <v>3.6999999999999998E-2</v>
      </c>
      <c r="I17" s="3"/>
    </row>
    <row r="18" spans="1:9" ht="15" customHeight="1" x14ac:dyDescent="0.2">
      <c r="A18" s="320"/>
      <c r="B18" s="328"/>
      <c r="C18" s="281" t="s">
        <v>40</v>
      </c>
      <c r="D18" s="4"/>
      <c r="E18" s="4"/>
      <c r="F18" s="4"/>
      <c r="G18" s="4"/>
      <c r="H18" s="4"/>
      <c r="I18" s="3"/>
    </row>
    <row r="19" spans="1:9" ht="17" x14ac:dyDescent="0.2">
      <c r="A19" s="320"/>
      <c r="B19" s="328"/>
      <c r="C19" s="1" t="s">
        <v>41</v>
      </c>
      <c r="D19" s="4">
        <v>1.0999999999999999E-2</v>
      </c>
      <c r="E19" s="4">
        <v>1.4E-2</v>
      </c>
      <c r="F19" s="4">
        <v>1.0999999999999999E-2</v>
      </c>
      <c r="G19" s="4">
        <v>1.2999999999999999E-2</v>
      </c>
      <c r="H19" s="4">
        <v>1.4E-2</v>
      </c>
      <c r="I19" s="2"/>
    </row>
    <row r="20" spans="1:9" ht="17" x14ac:dyDescent="0.2">
      <c r="A20" s="320"/>
      <c r="B20" s="328"/>
      <c r="C20" s="281" t="s">
        <v>42</v>
      </c>
      <c r="D20" s="4"/>
      <c r="E20" s="4"/>
      <c r="F20" s="4"/>
      <c r="G20" s="4"/>
      <c r="H20" s="4"/>
      <c r="I20" s="2"/>
    </row>
    <row r="21" spans="1:9" ht="17" x14ac:dyDescent="0.2">
      <c r="A21" s="320"/>
      <c r="B21" s="328"/>
      <c r="C21" s="1" t="s">
        <v>43</v>
      </c>
      <c r="D21" s="4">
        <v>1.0999999999999999E-2</v>
      </c>
      <c r="E21" s="4">
        <v>1.4E-2</v>
      </c>
      <c r="F21" s="4">
        <v>1.0999999999999999E-2</v>
      </c>
      <c r="G21" s="4">
        <v>1.2999999999999999E-2</v>
      </c>
      <c r="H21" s="4">
        <v>1.4E-2</v>
      </c>
      <c r="I21" s="2"/>
    </row>
    <row r="22" spans="1:9" ht="17" x14ac:dyDescent="0.2">
      <c r="A22" s="320"/>
      <c r="B22" s="328"/>
      <c r="C22" s="281" t="s">
        <v>44</v>
      </c>
      <c r="D22" s="4"/>
      <c r="E22" s="4"/>
      <c r="F22" s="4"/>
      <c r="G22" s="4"/>
      <c r="H22" s="4"/>
      <c r="I22" s="2"/>
    </row>
    <row r="23" spans="1:9" ht="17" x14ac:dyDescent="0.2">
      <c r="A23" s="320"/>
      <c r="B23" s="328"/>
      <c r="C23" s="1" t="s">
        <v>45</v>
      </c>
      <c r="D23" s="4">
        <v>2E-3</v>
      </c>
      <c r="E23" s="4">
        <v>2E-3</v>
      </c>
      <c r="F23" s="4">
        <v>2E-3</v>
      </c>
      <c r="G23" s="4">
        <v>3.0000000000000001E-3</v>
      </c>
      <c r="H23" s="4">
        <v>4.0000000000000001E-3</v>
      </c>
      <c r="I23" s="2"/>
    </row>
    <row r="24" spans="1:9" ht="17" x14ac:dyDescent="0.2">
      <c r="A24" s="320"/>
      <c r="B24" s="328"/>
      <c r="C24" s="281" t="s">
        <v>46</v>
      </c>
      <c r="D24" s="4"/>
      <c r="E24" s="4"/>
      <c r="F24" s="4"/>
      <c r="G24" s="4"/>
      <c r="H24" s="4"/>
      <c r="I24" s="2"/>
    </row>
    <row r="25" spans="1:9" ht="17" x14ac:dyDescent="0.2">
      <c r="A25" s="320"/>
      <c r="B25" s="328"/>
      <c r="C25" s="1" t="s">
        <v>47</v>
      </c>
      <c r="D25" s="2">
        <v>0.3</v>
      </c>
      <c r="E25" s="2">
        <v>0.2</v>
      </c>
      <c r="F25" s="2">
        <v>0.3</v>
      </c>
      <c r="G25" s="2">
        <v>0.6</v>
      </c>
      <c r="H25" s="2">
        <v>0.9</v>
      </c>
      <c r="I25" s="2"/>
    </row>
    <row r="26" spans="1:9" ht="17" x14ac:dyDescent="0.2">
      <c r="A26" s="320"/>
      <c r="B26" s="328"/>
      <c r="C26" s="1" t="s">
        <v>48</v>
      </c>
      <c r="D26" s="2"/>
      <c r="E26" s="2"/>
      <c r="F26" s="2"/>
      <c r="G26" s="2"/>
      <c r="H26" s="2"/>
      <c r="I26" s="2"/>
    </row>
    <row r="27" spans="1:9" ht="17" x14ac:dyDescent="0.2">
      <c r="A27" s="320"/>
      <c r="B27" s="328"/>
      <c r="C27" s="1" t="s">
        <v>49</v>
      </c>
      <c r="D27" s="2"/>
      <c r="E27" s="2"/>
      <c r="F27" s="2"/>
      <c r="G27" s="2"/>
      <c r="H27" s="2"/>
      <c r="I27" s="2"/>
    </row>
    <row r="28" spans="1:9" ht="17" x14ac:dyDescent="0.2">
      <c r="A28" s="320"/>
      <c r="B28" s="328"/>
      <c r="C28" s="1" t="s">
        <v>50</v>
      </c>
      <c r="D28" s="2"/>
      <c r="E28" s="2"/>
      <c r="F28" s="2"/>
      <c r="G28" s="2"/>
      <c r="H28" s="2"/>
      <c r="I28" s="2"/>
    </row>
    <row r="29" spans="1:9" ht="17" x14ac:dyDescent="0.2">
      <c r="A29" s="320"/>
      <c r="B29" s="328"/>
      <c r="C29" s="1" t="s">
        <v>51</v>
      </c>
      <c r="D29" s="2"/>
      <c r="E29" s="2"/>
      <c r="F29" s="2"/>
      <c r="G29" s="2"/>
      <c r="H29" s="2"/>
      <c r="I29" s="2"/>
    </row>
    <row r="30" spans="1:9" ht="17" x14ac:dyDescent="0.2">
      <c r="A30" s="320"/>
      <c r="B30" s="329"/>
      <c r="C30" s="1" t="s">
        <v>77</v>
      </c>
      <c r="D30" s="2">
        <v>0.3</v>
      </c>
      <c r="E30" s="2">
        <v>0.2</v>
      </c>
      <c r="F30" s="2">
        <v>0.3</v>
      </c>
      <c r="G30" s="2">
        <v>0.6</v>
      </c>
      <c r="H30" s="2">
        <v>0.9</v>
      </c>
      <c r="I30" s="2"/>
    </row>
    <row r="31" spans="1:9" ht="17" x14ac:dyDescent="0.2">
      <c r="A31" s="320"/>
      <c r="B31" s="327" t="s">
        <v>53</v>
      </c>
      <c r="C31" s="1" t="s">
        <v>54</v>
      </c>
      <c r="D31" s="4">
        <v>4.2999999999999997E-2</v>
      </c>
      <c r="E31" s="4">
        <v>0.02</v>
      </c>
      <c r="F31" s="4">
        <v>3.1E-2</v>
      </c>
      <c r="G31" s="5">
        <v>2.4E-2</v>
      </c>
      <c r="H31" s="5">
        <v>2.7E-2</v>
      </c>
      <c r="I31" s="2"/>
    </row>
    <row r="32" spans="1:9" ht="17" x14ac:dyDescent="0.2">
      <c r="A32" s="320"/>
      <c r="B32" s="328"/>
      <c r="C32" s="1" t="s">
        <v>55</v>
      </c>
      <c r="D32" s="4">
        <v>0.126</v>
      </c>
      <c r="E32" s="4">
        <v>0.35</v>
      </c>
      <c r="F32" s="4">
        <v>0.48599999999999999</v>
      </c>
      <c r="G32" s="4">
        <v>0.311</v>
      </c>
      <c r="H32" s="4">
        <v>0.41</v>
      </c>
      <c r="I32" s="2"/>
    </row>
    <row r="33" spans="1:9" ht="17" x14ac:dyDescent="0.2">
      <c r="A33" s="320"/>
      <c r="B33" s="328"/>
      <c r="C33" s="1" t="s">
        <v>56</v>
      </c>
      <c r="D33" s="4">
        <v>0.126</v>
      </c>
      <c r="E33" s="4">
        <v>0.35</v>
      </c>
      <c r="F33" s="4">
        <v>0.48599999999999999</v>
      </c>
      <c r="G33" s="4">
        <v>0.311</v>
      </c>
      <c r="H33" s="4">
        <v>0.41</v>
      </c>
      <c r="I33" s="2"/>
    </row>
    <row r="34" spans="1:9" ht="17" x14ac:dyDescent="0.2">
      <c r="A34" s="320"/>
      <c r="B34" s="328"/>
      <c r="C34" s="1" t="s">
        <v>57</v>
      </c>
      <c r="D34" s="4">
        <v>0.126</v>
      </c>
      <c r="E34" s="4">
        <v>0.35</v>
      </c>
      <c r="F34" s="4">
        <v>0.48599999999999999</v>
      </c>
      <c r="G34" s="4">
        <v>0.311</v>
      </c>
      <c r="H34" s="4">
        <v>0.41</v>
      </c>
      <c r="I34" s="2"/>
    </row>
    <row r="35" spans="1:9" ht="17" x14ac:dyDescent="0.2">
      <c r="A35" s="320"/>
      <c r="B35" s="328"/>
      <c r="C35" s="1" t="s">
        <v>58</v>
      </c>
      <c r="D35" s="4"/>
      <c r="E35" s="4"/>
      <c r="F35" s="4"/>
      <c r="G35" s="4"/>
      <c r="H35" s="4"/>
      <c r="I35" s="2"/>
    </row>
    <row r="36" spans="1:9" ht="17" x14ac:dyDescent="0.2">
      <c r="A36" s="320"/>
      <c r="B36" s="329"/>
      <c r="C36" s="1" t="s">
        <v>59</v>
      </c>
      <c r="D36" s="4">
        <v>1.403</v>
      </c>
      <c r="E36" s="4">
        <v>0.95299999999999996</v>
      </c>
      <c r="F36" s="4">
        <v>0.375</v>
      </c>
      <c r="G36" s="4">
        <v>0.74099999999999999</v>
      </c>
      <c r="H36" s="5">
        <v>0.64800000000000002</v>
      </c>
      <c r="I36" s="2"/>
    </row>
    <row r="37" spans="1:9" ht="15" customHeight="1" x14ac:dyDescent="0.2">
      <c r="A37" s="320"/>
      <c r="B37" s="327" t="s">
        <v>60</v>
      </c>
      <c r="C37" s="1" t="s">
        <v>61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3"/>
    </row>
    <row r="38" spans="1:9" ht="15" customHeight="1" x14ac:dyDescent="0.2">
      <c r="A38" s="320"/>
      <c r="B38" s="328"/>
      <c r="C38" s="1" t="s">
        <v>62</v>
      </c>
      <c r="D38" s="2"/>
      <c r="E38" s="2"/>
      <c r="F38" s="2"/>
      <c r="G38" s="2"/>
      <c r="H38" s="2"/>
      <c r="I38" s="3"/>
    </row>
    <row r="39" spans="1:9" ht="17" x14ac:dyDescent="0.2">
      <c r="A39" s="320"/>
      <c r="B39" s="328"/>
      <c r="C39" s="1" t="s">
        <v>63</v>
      </c>
      <c r="D39" s="4">
        <v>7.6999999999999999E-2</v>
      </c>
      <c r="E39" s="4">
        <v>8.1000000000000003E-2</v>
      </c>
      <c r="F39" s="4">
        <v>9.0999999999999998E-2</v>
      </c>
      <c r="G39" s="6">
        <v>9.8000000000000004E-2</v>
      </c>
      <c r="H39" s="6">
        <v>0.1</v>
      </c>
      <c r="I39" s="2" t="s">
        <v>64</v>
      </c>
    </row>
    <row r="40" spans="1:9" ht="17" x14ac:dyDescent="0.2">
      <c r="A40" s="320"/>
      <c r="B40" s="328"/>
      <c r="C40" s="1" t="s">
        <v>65</v>
      </c>
      <c r="D40" s="4"/>
      <c r="E40" s="4"/>
      <c r="F40" s="4"/>
      <c r="G40" s="6"/>
      <c r="H40" s="6"/>
      <c r="I40" s="2"/>
    </row>
    <row r="41" spans="1:9" ht="17" x14ac:dyDescent="0.2">
      <c r="A41" s="320"/>
      <c r="B41" s="328"/>
      <c r="C41" s="1" t="s">
        <v>66</v>
      </c>
      <c r="D41" s="2" t="s">
        <v>67</v>
      </c>
      <c r="E41" s="2" t="s">
        <v>67</v>
      </c>
      <c r="F41" s="2" t="s">
        <v>67</v>
      </c>
      <c r="G41" s="2" t="s">
        <v>67</v>
      </c>
      <c r="H41" s="2"/>
      <c r="I41" s="2"/>
    </row>
    <row r="42" spans="1:9" ht="17" x14ac:dyDescent="0.2">
      <c r="A42" s="320"/>
      <c r="B42" s="330" t="s">
        <v>68</v>
      </c>
      <c r="C42" s="281" t="s">
        <v>69</v>
      </c>
      <c r="D42" s="4"/>
      <c r="E42" s="4"/>
      <c r="F42" s="4"/>
      <c r="G42" s="4"/>
      <c r="H42" s="4"/>
      <c r="I42" s="2"/>
    </row>
    <row r="43" spans="1:9" ht="17" x14ac:dyDescent="0.2">
      <c r="A43" s="320"/>
      <c r="B43" s="330"/>
      <c r="C43" s="281" t="s">
        <v>70</v>
      </c>
      <c r="D43" s="4"/>
      <c r="E43" s="4"/>
      <c r="F43" s="4"/>
      <c r="G43" s="4"/>
      <c r="H43" s="4"/>
      <c r="I43" s="2"/>
    </row>
    <row r="44" spans="1:9" ht="17" x14ac:dyDescent="0.2">
      <c r="A44" s="320"/>
      <c r="B44" s="330"/>
      <c r="C44" s="281" t="s">
        <v>71</v>
      </c>
      <c r="D44" s="4"/>
      <c r="E44" s="4"/>
      <c r="F44" s="4"/>
      <c r="G44" s="4"/>
      <c r="H44" s="4"/>
      <c r="I44" s="2"/>
    </row>
    <row r="45" spans="1:9" ht="17" x14ac:dyDescent="0.2">
      <c r="A45" s="320"/>
      <c r="B45" s="330"/>
      <c r="C45" s="281" t="s">
        <v>70</v>
      </c>
      <c r="D45" s="4"/>
      <c r="E45" s="4"/>
      <c r="F45" s="4"/>
      <c r="G45" s="4"/>
      <c r="H45" s="4"/>
      <c r="I45" s="2"/>
    </row>
    <row r="46" spans="1:9" ht="17" x14ac:dyDescent="0.2">
      <c r="A46" s="320"/>
      <c r="B46" s="330"/>
      <c r="C46" s="281" t="s">
        <v>72</v>
      </c>
      <c r="D46" s="4"/>
      <c r="E46" s="4"/>
      <c r="F46" s="4"/>
      <c r="G46" s="4"/>
      <c r="H46" s="4"/>
      <c r="I46" s="2"/>
    </row>
    <row r="47" spans="1:9" ht="17" x14ac:dyDescent="0.2">
      <c r="A47" s="320"/>
      <c r="B47" s="330"/>
      <c r="C47" s="281" t="s">
        <v>70</v>
      </c>
      <c r="D47" s="4"/>
      <c r="E47" s="4"/>
      <c r="F47" s="4"/>
      <c r="G47" s="4"/>
      <c r="H47" s="4"/>
      <c r="I47" s="2"/>
    </row>
    <row r="49" spans="1:9" ht="34" x14ac:dyDescent="0.2">
      <c r="A49" s="320" t="s">
        <v>27</v>
      </c>
      <c r="B49" s="289" t="s">
        <v>3</v>
      </c>
      <c r="C49" s="14" t="s">
        <v>4</v>
      </c>
      <c r="D49" s="15" t="s">
        <v>5</v>
      </c>
      <c r="E49" s="15" t="s">
        <v>6</v>
      </c>
      <c r="F49" s="15" t="s">
        <v>7</v>
      </c>
      <c r="G49" s="15" t="s">
        <v>8</v>
      </c>
      <c r="H49" s="15" t="s">
        <v>9</v>
      </c>
      <c r="I49" s="16" t="s">
        <v>10</v>
      </c>
    </row>
    <row r="50" spans="1:9" ht="17" x14ac:dyDescent="0.2">
      <c r="A50" s="320"/>
      <c r="B50" s="324" t="s">
        <v>13</v>
      </c>
      <c r="C50" s="1" t="s">
        <v>12</v>
      </c>
      <c r="D50" s="2">
        <v>141.5</v>
      </c>
      <c r="E50" s="2">
        <v>176.7</v>
      </c>
      <c r="F50" s="2">
        <v>215</v>
      </c>
      <c r="G50" s="2">
        <v>261.39999999999998</v>
      </c>
      <c r="H50" s="2">
        <v>304.7</v>
      </c>
      <c r="I50" s="2"/>
    </row>
    <row r="51" spans="1:9" ht="17" x14ac:dyDescent="0.2">
      <c r="A51" s="320"/>
      <c r="B51" s="325"/>
      <c r="C51" s="288" t="s">
        <v>17</v>
      </c>
      <c r="D51" s="2"/>
      <c r="E51" s="2"/>
      <c r="F51" s="2"/>
      <c r="G51" s="2"/>
      <c r="H51" s="2"/>
      <c r="I51" s="2"/>
    </row>
    <row r="52" spans="1:9" ht="17" x14ac:dyDescent="0.2">
      <c r="A52" s="320"/>
      <c r="B52" s="325"/>
      <c r="C52" s="288" t="s">
        <v>18</v>
      </c>
      <c r="D52" s="2"/>
      <c r="E52" s="2"/>
      <c r="F52" s="2"/>
      <c r="G52" s="2"/>
      <c r="H52" s="2"/>
      <c r="I52" s="2"/>
    </row>
    <row r="53" spans="1:9" ht="17" x14ac:dyDescent="0.2">
      <c r="A53" s="320"/>
      <c r="B53" s="325"/>
      <c r="C53" s="1" t="s">
        <v>19</v>
      </c>
      <c r="D53" s="2">
        <v>35.5</v>
      </c>
      <c r="E53" s="2">
        <v>38.6</v>
      </c>
      <c r="F53" s="2">
        <v>42.8</v>
      </c>
      <c r="G53" s="2">
        <v>50.2</v>
      </c>
      <c r="H53" s="2">
        <v>50.7</v>
      </c>
      <c r="I53" s="2"/>
    </row>
    <row r="54" spans="1:9" ht="17" x14ac:dyDescent="0.2">
      <c r="A54" s="320"/>
      <c r="B54" s="325"/>
      <c r="C54" s="1" t="s">
        <v>22</v>
      </c>
      <c r="D54" s="2">
        <v>17.399999999999999</v>
      </c>
      <c r="E54" s="2">
        <v>17.3</v>
      </c>
      <c r="F54" s="2">
        <v>17.2</v>
      </c>
      <c r="G54" s="2">
        <v>17.399999999999999</v>
      </c>
      <c r="H54" s="2">
        <v>17.899999999999999</v>
      </c>
      <c r="I54" s="2"/>
    </row>
    <row r="55" spans="1:9" ht="15.75" customHeight="1" x14ac:dyDescent="0.2">
      <c r="A55" s="320"/>
      <c r="B55" s="325"/>
      <c r="C55" s="1" t="s">
        <v>24</v>
      </c>
      <c r="D55" s="2">
        <v>17.399999999999999</v>
      </c>
      <c r="E55" s="2">
        <v>17.3</v>
      </c>
      <c r="F55" s="2">
        <v>17.2</v>
      </c>
      <c r="G55" s="2">
        <v>17.399999999999999</v>
      </c>
      <c r="H55" s="2">
        <v>17.899999999999999</v>
      </c>
      <c r="I55" s="3"/>
    </row>
    <row r="56" spans="1:9" ht="14.25" customHeight="1" x14ac:dyDescent="0.2">
      <c r="A56" s="320"/>
      <c r="B56" s="325"/>
      <c r="C56" s="1" t="s">
        <v>75</v>
      </c>
      <c r="D56" s="2">
        <v>37</v>
      </c>
      <c r="E56" s="2">
        <v>38</v>
      </c>
      <c r="F56" s="2">
        <v>38</v>
      </c>
      <c r="G56" s="2">
        <v>38</v>
      </c>
      <c r="H56" s="2">
        <v>38</v>
      </c>
      <c r="I56" s="3"/>
    </row>
    <row r="57" spans="1:9" ht="15" customHeight="1" x14ac:dyDescent="0.2">
      <c r="A57" s="320"/>
      <c r="B57" s="325"/>
      <c r="C57" s="1" t="s">
        <v>28</v>
      </c>
      <c r="D57" s="2">
        <v>2.1</v>
      </c>
      <c r="E57" s="2">
        <v>2.2999999999999998</v>
      </c>
      <c r="F57" s="2">
        <v>2.2999999999999998</v>
      </c>
      <c r="G57" s="2">
        <v>2.2999999999999998</v>
      </c>
      <c r="H57" s="2">
        <v>2.2999999999999998</v>
      </c>
      <c r="I57" s="3"/>
    </row>
    <row r="58" spans="1:9" ht="17" x14ac:dyDescent="0.2">
      <c r="A58" s="320"/>
      <c r="B58" s="303" t="s">
        <v>29</v>
      </c>
      <c r="C58" s="281" t="s">
        <v>30</v>
      </c>
      <c r="D58" s="4">
        <v>0.123</v>
      </c>
      <c r="E58" s="4">
        <v>0.107</v>
      </c>
      <c r="F58" s="4">
        <v>0.109</v>
      </c>
      <c r="G58" s="4">
        <v>9.6000000000000002E-2</v>
      </c>
      <c r="H58" s="4">
        <v>9.7000000000000003E-2</v>
      </c>
      <c r="I58" s="2" t="s">
        <v>31</v>
      </c>
    </row>
    <row r="59" spans="1:9" ht="17" x14ac:dyDescent="0.2">
      <c r="A59" s="320"/>
      <c r="B59" s="303"/>
      <c r="C59" s="281" t="s">
        <v>76</v>
      </c>
      <c r="D59" s="4">
        <v>1.4E-2</v>
      </c>
      <c r="E59" s="4">
        <v>1.0999999999999999E-2</v>
      </c>
      <c r="F59" s="4">
        <v>7.0000000000000001E-3</v>
      </c>
      <c r="G59" s="4">
        <v>1.4999999999999999E-2</v>
      </c>
      <c r="H59" s="4">
        <v>0.01</v>
      </c>
      <c r="I59" s="2"/>
    </row>
    <row r="60" spans="1:9" ht="17" x14ac:dyDescent="0.2">
      <c r="A60" s="320"/>
      <c r="B60" s="303"/>
      <c r="C60" s="281" t="s">
        <v>33</v>
      </c>
      <c r="D60" s="4"/>
      <c r="E60" s="4"/>
      <c r="F60" s="4"/>
      <c r="G60" s="4"/>
      <c r="H60" s="4"/>
      <c r="I60" s="2"/>
    </row>
    <row r="61" spans="1:9" ht="17" x14ac:dyDescent="0.2">
      <c r="A61" s="320"/>
      <c r="B61" s="325" t="s">
        <v>34</v>
      </c>
      <c r="C61" s="1" t="s">
        <v>35</v>
      </c>
      <c r="D61" s="4"/>
      <c r="E61" s="4"/>
      <c r="F61" s="4"/>
      <c r="G61" s="4"/>
      <c r="H61" s="4"/>
      <c r="I61" s="2"/>
    </row>
    <row r="62" spans="1:9" ht="15.75" customHeight="1" x14ac:dyDescent="0.2">
      <c r="A62" s="320"/>
      <c r="B62" s="325"/>
      <c r="C62" s="1" t="s">
        <v>36</v>
      </c>
      <c r="D62" s="4">
        <v>0.01</v>
      </c>
      <c r="E62" s="4">
        <v>8.0000000000000002E-3</v>
      </c>
      <c r="F62" s="4">
        <v>8.0000000000000002E-3</v>
      </c>
      <c r="G62" s="4">
        <v>8.0000000000000002E-3</v>
      </c>
      <c r="H62" s="4">
        <v>8.0000000000000002E-3</v>
      </c>
      <c r="I62" s="4">
        <v>7.0000000000000001E-3</v>
      </c>
    </row>
    <row r="63" spans="1:9" ht="16" x14ac:dyDescent="0.2">
      <c r="A63" s="320"/>
      <c r="B63" s="325"/>
      <c r="C63" t="s">
        <v>37</v>
      </c>
      <c r="D63" s="4">
        <v>0.01</v>
      </c>
      <c r="E63" s="4">
        <v>8.0000000000000002E-3</v>
      </c>
      <c r="F63" s="4">
        <v>8.0000000000000002E-3</v>
      </c>
      <c r="G63" s="4">
        <v>8.0000000000000002E-3</v>
      </c>
      <c r="H63" s="4">
        <v>8.0000000000000002E-3</v>
      </c>
      <c r="I63" s="4"/>
    </row>
    <row r="64" spans="1:9" ht="17" x14ac:dyDescent="0.2">
      <c r="A64" s="320"/>
      <c r="B64" s="325"/>
      <c r="C64" s="281" t="s">
        <v>38</v>
      </c>
      <c r="D64" s="4"/>
      <c r="E64" s="4"/>
      <c r="F64" s="4"/>
      <c r="G64" s="4"/>
      <c r="H64" s="4"/>
      <c r="I64" s="4"/>
    </row>
    <row r="65" spans="1:9" ht="16" customHeight="1" x14ac:dyDescent="0.2">
      <c r="A65" s="320"/>
      <c r="B65" s="325"/>
      <c r="C65" s="1" t="s">
        <v>39</v>
      </c>
      <c r="D65" s="4">
        <v>4.2000000000000003E-2</v>
      </c>
      <c r="E65" s="4">
        <v>2.9000000000000001E-2</v>
      </c>
      <c r="F65" s="4">
        <v>3.5999999999999997E-2</v>
      </c>
      <c r="G65" s="4">
        <v>3.2000000000000001E-2</v>
      </c>
      <c r="H65" s="4">
        <v>3.6999999999999998E-2</v>
      </c>
      <c r="I65" s="3"/>
    </row>
    <row r="66" spans="1:9" ht="16" customHeight="1" x14ac:dyDescent="0.2">
      <c r="A66" s="320"/>
      <c r="B66" s="325"/>
      <c r="C66" s="281" t="s">
        <v>40</v>
      </c>
      <c r="D66" s="4"/>
      <c r="E66" s="4"/>
      <c r="F66" s="4"/>
      <c r="G66" s="4"/>
      <c r="H66" s="4"/>
      <c r="I66" s="3"/>
    </row>
    <row r="67" spans="1:9" ht="17" x14ac:dyDescent="0.2">
      <c r="A67" s="320"/>
      <c r="B67" s="325"/>
      <c r="C67" s="1" t="s">
        <v>41</v>
      </c>
      <c r="D67" s="4">
        <v>1.0999999999999999E-2</v>
      </c>
      <c r="E67" s="4">
        <v>1.4E-2</v>
      </c>
      <c r="F67" s="4">
        <v>1.0999999999999999E-2</v>
      </c>
      <c r="G67" s="4">
        <v>1.2999999999999999E-2</v>
      </c>
      <c r="H67" s="4">
        <v>1.4E-2</v>
      </c>
      <c r="I67" s="2"/>
    </row>
    <row r="68" spans="1:9" ht="17" x14ac:dyDescent="0.2">
      <c r="A68" s="320"/>
      <c r="B68" s="325"/>
      <c r="C68" s="281" t="s">
        <v>42</v>
      </c>
      <c r="D68" s="4"/>
      <c r="E68" s="4"/>
      <c r="F68" s="4"/>
      <c r="G68" s="4"/>
      <c r="H68" s="4"/>
      <c r="I68" s="2"/>
    </row>
    <row r="69" spans="1:9" ht="17" x14ac:dyDescent="0.2">
      <c r="A69" s="320"/>
      <c r="B69" s="325"/>
      <c r="C69" s="1" t="s">
        <v>43</v>
      </c>
      <c r="D69" s="4">
        <v>1.0999999999999999E-2</v>
      </c>
      <c r="E69" s="4">
        <v>1.4E-2</v>
      </c>
      <c r="F69" s="4">
        <v>1.0999999999999999E-2</v>
      </c>
      <c r="G69" s="4">
        <v>1.2999999999999999E-2</v>
      </c>
      <c r="H69" s="4">
        <v>1.4E-2</v>
      </c>
      <c r="I69" s="2"/>
    </row>
    <row r="70" spans="1:9" ht="17" x14ac:dyDescent="0.2">
      <c r="A70" s="320"/>
      <c r="B70" s="325"/>
      <c r="C70" s="281" t="s">
        <v>44</v>
      </c>
      <c r="D70" s="4"/>
      <c r="E70" s="4"/>
      <c r="F70" s="4"/>
      <c r="G70" s="4"/>
      <c r="H70" s="4"/>
      <c r="I70" s="2"/>
    </row>
    <row r="71" spans="1:9" ht="17" x14ac:dyDescent="0.2">
      <c r="A71" s="320"/>
      <c r="B71" s="325"/>
      <c r="C71" s="1" t="s">
        <v>45</v>
      </c>
      <c r="D71" s="4">
        <v>2E-3</v>
      </c>
      <c r="E71" s="4">
        <v>2E-3</v>
      </c>
      <c r="F71" s="4">
        <v>2E-3</v>
      </c>
      <c r="G71" s="4">
        <v>3.0000000000000001E-3</v>
      </c>
      <c r="H71" s="4">
        <v>4.0000000000000001E-3</v>
      </c>
      <c r="I71" s="2"/>
    </row>
    <row r="72" spans="1:9" ht="17" x14ac:dyDescent="0.2">
      <c r="A72" s="320"/>
      <c r="B72" s="325"/>
      <c r="C72" s="281" t="s">
        <v>46</v>
      </c>
      <c r="D72" s="4"/>
      <c r="E72" s="4"/>
      <c r="F72" s="4"/>
      <c r="G72" s="4"/>
      <c r="H72" s="4"/>
      <c r="I72" s="2"/>
    </row>
    <row r="73" spans="1:9" ht="17" x14ac:dyDescent="0.2">
      <c r="A73" s="320"/>
      <c r="B73" s="325"/>
      <c r="C73" s="1" t="s">
        <v>47</v>
      </c>
      <c r="D73" s="2">
        <v>0.3</v>
      </c>
      <c r="E73" s="2">
        <v>0.2</v>
      </c>
      <c r="F73" s="2">
        <v>0.3</v>
      </c>
      <c r="G73" s="2">
        <v>0.6</v>
      </c>
      <c r="H73" s="2">
        <v>0.9</v>
      </c>
      <c r="I73" s="2"/>
    </row>
    <row r="74" spans="1:9" ht="17" x14ac:dyDescent="0.2">
      <c r="A74" s="320"/>
      <c r="B74" s="325"/>
      <c r="C74" s="1" t="s">
        <v>48</v>
      </c>
      <c r="D74" s="2"/>
      <c r="E74" s="2"/>
      <c r="F74" s="2"/>
      <c r="G74" s="2"/>
      <c r="H74" s="2"/>
      <c r="I74" s="2"/>
    </row>
    <row r="75" spans="1:9" ht="17" x14ac:dyDescent="0.2">
      <c r="A75" s="320"/>
      <c r="B75" s="325"/>
      <c r="C75" s="1" t="s">
        <v>49</v>
      </c>
      <c r="D75" s="2"/>
      <c r="E75" s="2"/>
      <c r="F75" s="2"/>
      <c r="G75" s="2"/>
      <c r="H75" s="2"/>
      <c r="I75" s="2"/>
    </row>
    <row r="76" spans="1:9" ht="17" x14ac:dyDescent="0.2">
      <c r="A76" s="320"/>
      <c r="B76" s="325"/>
      <c r="C76" s="1" t="s">
        <v>50</v>
      </c>
      <c r="D76" s="2"/>
      <c r="E76" s="2"/>
      <c r="F76" s="2"/>
      <c r="G76" s="2"/>
      <c r="H76" s="2"/>
      <c r="I76" s="2"/>
    </row>
    <row r="77" spans="1:9" ht="17" x14ac:dyDescent="0.2">
      <c r="A77" s="320"/>
      <c r="B77" s="325"/>
      <c r="C77" s="1" t="s">
        <v>51</v>
      </c>
      <c r="D77" s="2"/>
      <c r="E77" s="2"/>
      <c r="F77" s="2"/>
      <c r="G77" s="2"/>
      <c r="H77" s="2"/>
      <c r="I77" s="2"/>
    </row>
    <row r="78" spans="1:9" ht="17" x14ac:dyDescent="0.2">
      <c r="A78" s="320"/>
      <c r="B78" s="326"/>
      <c r="C78" s="1" t="s">
        <v>77</v>
      </c>
      <c r="D78" s="2">
        <v>0.3</v>
      </c>
      <c r="E78" s="2">
        <v>0.2</v>
      </c>
      <c r="F78" s="2">
        <v>0.3</v>
      </c>
      <c r="G78" s="2">
        <v>0.6</v>
      </c>
      <c r="H78" s="2">
        <v>0.9</v>
      </c>
      <c r="I78" s="2"/>
    </row>
    <row r="79" spans="1:9" ht="17" x14ac:dyDescent="0.2">
      <c r="A79" s="320"/>
      <c r="B79" s="324" t="s">
        <v>53</v>
      </c>
      <c r="C79" s="1" t="s">
        <v>54</v>
      </c>
      <c r="D79" s="4">
        <v>4.2999999999999997E-2</v>
      </c>
      <c r="E79" s="4">
        <v>0.02</v>
      </c>
      <c r="F79" s="4">
        <v>3.1E-2</v>
      </c>
      <c r="G79" s="5">
        <v>2.4E-2</v>
      </c>
      <c r="H79" s="5">
        <v>2.7E-2</v>
      </c>
      <c r="I79" s="2"/>
    </row>
    <row r="80" spans="1:9" ht="17" x14ac:dyDescent="0.2">
      <c r="A80" s="320"/>
      <c r="B80" s="325"/>
      <c r="C80" s="1" t="s">
        <v>55</v>
      </c>
      <c r="D80" s="4">
        <v>0.126</v>
      </c>
      <c r="E80" s="4">
        <v>0.35</v>
      </c>
      <c r="F80" s="4">
        <v>0.48599999999999999</v>
      </c>
      <c r="G80" s="4">
        <v>0.311</v>
      </c>
      <c r="H80" s="4">
        <v>0.41</v>
      </c>
      <c r="I80" s="2"/>
    </row>
    <row r="81" spans="1:9" ht="17" x14ac:dyDescent="0.2">
      <c r="A81" s="320"/>
      <c r="B81" s="325"/>
      <c r="C81" s="1" t="s">
        <v>56</v>
      </c>
      <c r="D81" s="4">
        <v>0.126</v>
      </c>
      <c r="E81" s="4">
        <v>0.35</v>
      </c>
      <c r="F81" s="4">
        <v>0.48599999999999999</v>
      </c>
      <c r="G81" s="4">
        <v>0.311</v>
      </c>
      <c r="H81" s="4">
        <v>0.41</v>
      </c>
      <c r="I81" s="2"/>
    </row>
    <row r="82" spans="1:9" ht="17" x14ac:dyDescent="0.2">
      <c r="A82" s="320"/>
      <c r="B82" s="325"/>
      <c r="C82" s="1" t="s">
        <v>57</v>
      </c>
      <c r="D82" s="4">
        <v>0.126</v>
      </c>
      <c r="E82" s="4">
        <v>0.35</v>
      </c>
      <c r="F82" s="4">
        <v>0.48599999999999999</v>
      </c>
      <c r="G82" s="4">
        <v>0.311</v>
      </c>
      <c r="H82" s="4">
        <v>0.41</v>
      </c>
      <c r="I82" s="2"/>
    </row>
    <row r="83" spans="1:9" ht="17" x14ac:dyDescent="0.2">
      <c r="A83" s="320"/>
      <c r="B83" s="325"/>
      <c r="C83" s="1" t="s">
        <v>58</v>
      </c>
      <c r="D83" s="4"/>
      <c r="E83" s="4"/>
      <c r="F83" s="4"/>
      <c r="G83" s="4"/>
      <c r="H83" s="4"/>
      <c r="I83" s="2"/>
    </row>
    <row r="84" spans="1:9" ht="17" x14ac:dyDescent="0.2">
      <c r="A84" s="320"/>
      <c r="B84" s="326"/>
      <c r="C84" s="1" t="s">
        <v>59</v>
      </c>
      <c r="D84" s="4">
        <v>1.403</v>
      </c>
      <c r="E84" s="4">
        <v>0.95299999999999996</v>
      </c>
      <c r="F84" s="4">
        <v>0.375</v>
      </c>
      <c r="G84" s="4">
        <v>0.74099999999999999</v>
      </c>
      <c r="H84" s="5">
        <v>0.64800000000000002</v>
      </c>
      <c r="I84" s="2"/>
    </row>
    <row r="85" spans="1:9" ht="15" customHeight="1" x14ac:dyDescent="0.2">
      <c r="A85" s="320"/>
      <c r="B85" s="324" t="s">
        <v>60</v>
      </c>
      <c r="C85" s="1" t="s">
        <v>61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3"/>
    </row>
    <row r="86" spans="1:9" ht="15.75" customHeight="1" x14ac:dyDescent="0.2">
      <c r="A86" s="320"/>
      <c r="B86" s="325"/>
      <c r="C86" s="1" t="s">
        <v>62</v>
      </c>
      <c r="D86" s="2"/>
      <c r="E86" s="2"/>
      <c r="F86" s="2"/>
      <c r="G86" s="2"/>
      <c r="H86" s="2"/>
      <c r="I86" s="3"/>
    </row>
    <row r="87" spans="1:9" ht="15.75" customHeight="1" x14ac:dyDescent="0.2">
      <c r="A87" s="320"/>
      <c r="B87" s="325"/>
      <c r="C87" s="1" t="s">
        <v>65</v>
      </c>
      <c r="D87" s="4"/>
      <c r="E87" s="4"/>
      <c r="F87" s="4"/>
      <c r="G87" s="6"/>
      <c r="H87" s="6"/>
      <c r="I87" s="2"/>
    </row>
    <row r="88" spans="1:9" ht="17" x14ac:dyDescent="0.2">
      <c r="A88" s="320"/>
      <c r="B88" s="325"/>
      <c r="C88" s="1" t="s">
        <v>63</v>
      </c>
      <c r="D88" s="4">
        <v>7.6999999999999999E-2</v>
      </c>
      <c r="E88" s="4">
        <v>8.1000000000000003E-2</v>
      </c>
      <c r="F88" s="4">
        <v>9.0999999999999998E-2</v>
      </c>
      <c r="G88" s="6">
        <v>9.8000000000000004E-2</v>
      </c>
      <c r="H88" s="6">
        <v>0.1</v>
      </c>
      <c r="I88" s="2" t="s">
        <v>64</v>
      </c>
    </row>
    <row r="89" spans="1:9" ht="17" x14ac:dyDescent="0.2">
      <c r="A89" s="320"/>
      <c r="B89" s="325"/>
      <c r="C89" s="1" t="s">
        <v>66</v>
      </c>
      <c r="D89" s="2" t="s">
        <v>67</v>
      </c>
      <c r="E89" s="2" t="s">
        <v>67</v>
      </c>
      <c r="F89" s="2" t="s">
        <v>67</v>
      </c>
      <c r="G89" s="2" t="s">
        <v>67</v>
      </c>
      <c r="H89" s="2"/>
      <c r="I89" s="2"/>
    </row>
    <row r="90" spans="1:9" ht="17" x14ac:dyDescent="0.2">
      <c r="A90" s="320"/>
      <c r="B90" s="323" t="s">
        <v>68</v>
      </c>
      <c r="C90" s="281" t="s">
        <v>69</v>
      </c>
      <c r="D90" s="4"/>
      <c r="E90" s="4"/>
      <c r="F90" s="4"/>
      <c r="G90" s="4"/>
      <c r="H90" s="4"/>
      <c r="I90" s="2"/>
    </row>
    <row r="91" spans="1:9" ht="17" x14ac:dyDescent="0.2">
      <c r="A91" s="320"/>
      <c r="B91" s="323"/>
      <c r="C91" s="281" t="s">
        <v>70</v>
      </c>
      <c r="D91" s="4"/>
      <c r="E91" s="4"/>
      <c r="F91" s="4"/>
      <c r="G91" s="4"/>
      <c r="H91" s="4"/>
      <c r="I91" s="2"/>
    </row>
    <row r="92" spans="1:9" ht="17" x14ac:dyDescent="0.2">
      <c r="A92" s="320"/>
      <c r="B92" s="323"/>
      <c r="C92" s="281" t="s">
        <v>71</v>
      </c>
      <c r="D92" s="4"/>
      <c r="E92" s="4"/>
      <c r="F92" s="4"/>
      <c r="G92" s="4"/>
      <c r="H92" s="4"/>
      <c r="I92" s="2"/>
    </row>
    <row r="93" spans="1:9" ht="17" x14ac:dyDescent="0.2">
      <c r="A93" s="320"/>
      <c r="B93" s="323"/>
      <c r="C93" s="281" t="s">
        <v>70</v>
      </c>
      <c r="D93" s="4"/>
      <c r="E93" s="4"/>
      <c r="F93" s="4"/>
      <c r="G93" s="4"/>
      <c r="H93" s="4"/>
      <c r="I93" s="2"/>
    </row>
    <row r="94" spans="1:9" ht="17" x14ac:dyDescent="0.2">
      <c r="A94" s="320"/>
      <c r="B94" s="323"/>
      <c r="C94" s="281" t="s">
        <v>72</v>
      </c>
      <c r="D94" s="4"/>
      <c r="E94" s="4"/>
      <c r="F94" s="4"/>
      <c r="G94" s="4"/>
      <c r="H94" s="4"/>
      <c r="I94" s="2"/>
    </row>
    <row r="95" spans="1:9" ht="14.5" customHeight="1" x14ac:dyDescent="0.2">
      <c r="A95" s="320"/>
      <c r="B95" s="323"/>
      <c r="C95" s="281" t="s">
        <v>70</v>
      </c>
      <c r="D95" s="4"/>
      <c r="E95" s="4"/>
      <c r="F95" s="4"/>
      <c r="G95" s="4"/>
      <c r="H95" s="4"/>
      <c r="I95" s="2"/>
    </row>
    <row r="97" spans="1:9" ht="34" x14ac:dyDescent="0.2">
      <c r="A97" s="321" t="s">
        <v>78</v>
      </c>
      <c r="B97" s="14" t="s">
        <v>3</v>
      </c>
      <c r="C97" s="14" t="s">
        <v>4</v>
      </c>
      <c r="D97" s="15" t="s">
        <v>5</v>
      </c>
      <c r="E97" s="15" t="s">
        <v>6</v>
      </c>
      <c r="F97" s="15" t="s">
        <v>7</v>
      </c>
      <c r="G97" s="15" t="s">
        <v>8</v>
      </c>
      <c r="H97" s="15" t="s">
        <v>9</v>
      </c>
      <c r="I97" s="16" t="s">
        <v>10</v>
      </c>
    </row>
    <row r="98" spans="1:9" ht="17" x14ac:dyDescent="0.2">
      <c r="A98" s="321"/>
      <c r="B98" s="317" t="s">
        <v>13</v>
      </c>
      <c r="C98" s="1" t="s">
        <v>12</v>
      </c>
      <c r="D98" s="2">
        <v>141.5</v>
      </c>
      <c r="E98" s="2">
        <v>176.7</v>
      </c>
      <c r="F98" s="2">
        <v>215</v>
      </c>
      <c r="G98" s="2">
        <v>261.39999999999998</v>
      </c>
      <c r="H98" s="2">
        <v>304.7</v>
      </c>
      <c r="I98" s="2"/>
    </row>
    <row r="99" spans="1:9" ht="17" x14ac:dyDescent="0.2">
      <c r="A99" s="321"/>
      <c r="B99" s="315"/>
      <c r="C99" s="288" t="s">
        <v>17</v>
      </c>
      <c r="D99" s="2"/>
      <c r="E99" s="2"/>
      <c r="F99" s="2"/>
      <c r="G99" s="2"/>
      <c r="H99" s="2"/>
      <c r="I99" s="2"/>
    </row>
    <row r="100" spans="1:9" ht="17" x14ac:dyDescent="0.2">
      <c r="A100" s="321"/>
      <c r="B100" s="315"/>
      <c r="C100" s="288" t="s">
        <v>18</v>
      </c>
      <c r="D100" s="2"/>
      <c r="E100" s="2"/>
      <c r="F100" s="2"/>
      <c r="G100" s="2"/>
      <c r="H100" s="2"/>
      <c r="I100" s="2"/>
    </row>
    <row r="101" spans="1:9" ht="17" x14ac:dyDescent="0.2">
      <c r="A101" s="321"/>
      <c r="B101" s="315"/>
      <c r="C101" s="1" t="s">
        <v>19</v>
      </c>
      <c r="D101" s="2">
        <v>35.5</v>
      </c>
      <c r="E101" s="2">
        <v>38.6</v>
      </c>
      <c r="F101" s="2">
        <v>42.8</v>
      </c>
      <c r="G101" s="2">
        <v>50.2</v>
      </c>
      <c r="H101" s="2">
        <v>50.7</v>
      </c>
      <c r="I101" s="2"/>
    </row>
    <row r="102" spans="1:9" ht="17" x14ac:dyDescent="0.2">
      <c r="A102" s="321"/>
      <c r="B102" s="315"/>
      <c r="C102" s="1" t="s">
        <v>22</v>
      </c>
      <c r="D102" s="2">
        <v>17.399999999999999</v>
      </c>
      <c r="E102" s="2">
        <v>17.3</v>
      </c>
      <c r="F102" s="2">
        <v>17.2</v>
      </c>
      <c r="G102" s="2">
        <v>17.399999999999999</v>
      </c>
      <c r="H102" s="2">
        <v>17.899999999999999</v>
      </c>
      <c r="I102" s="2"/>
    </row>
    <row r="103" spans="1:9" ht="14.25" customHeight="1" x14ac:dyDescent="0.2">
      <c r="A103" s="321"/>
      <c r="B103" s="315"/>
      <c r="C103" s="1" t="s">
        <v>24</v>
      </c>
      <c r="D103" s="2">
        <v>17.399999999999999</v>
      </c>
      <c r="E103" s="2">
        <v>17.3</v>
      </c>
      <c r="F103" s="2">
        <v>17.2</v>
      </c>
      <c r="G103" s="2">
        <v>17.399999999999999</v>
      </c>
      <c r="H103" s="2">
        <v>17.899999999999999</v>
      </c>
      <c r="I103" s="3"/>
    </row>
    <row r="104" spans="1:9" ht="15" customHeight="1" x14ac:dyDescent="0.2">
      <c r="A104" s="321"/>
      <c r="B104" s="315"/>
      <c r="C104" s="1" t="s">
        <v>75</v>
      </c>
      <c r="D104" s="2">
        <v>37</v>
      </c>
      <c r="E104" s="2">
        <v>38</v>
      </c>
      <c r="F104" s="2">
        <v>38</v>
      </c>
      <c r="G104" s="2">
        <v>38</v>
      </c>
      <c r="H104" s="2">
        <v>38</v>
      </c>
      <c r="I104" s="3"/>
    </row>
    <row r="105" spans="1:9" ht="16" customHeight="1" x14ac:dyDescent="0.2">
      <c r="A105" s="321"/>
      <c r="B105" s="315"/>
      <c r="C105" s="1" t="s">
        <v>28</v>
      </c>
      <c r="D105" s="2">
        <v>2.1</v>
      </c>
      <c r="E105" s="2">
        <v>2.2999999999999998</v>
      </c>
      <c r="F105" s="2">
        <v>2.2999999999999998</v>
      </c>
      <c r="G105" s="2">
        <v>2.2999999999999998</v>
      </c>
      <c r="H105" s="2">
        <v>2.2999999999999998</v>
      </c>
      <c r="I105" s="3"/>
    </row>
    <row r="106" spans="1:9" ht="17" x14ac:dyDescent="0.2">
      <c r="A106" s="322"/>
      <c r="B106" s="303" t="s">
        <v>29</v>
      </c>
      <c r="C106" s="281" t="s">
        <v>30</v>
      </c>
      <c r="D106" s="4">
        <v>0.123</v>
      </c>
      <c r="E106" s="4">
        <v>0.107</v>
      </c>
      <c r="F106" s="4">
        <v>0.109</v>
      </c>
      <c r="G106" s="4">
        <v>9.6000000000000002E-2</v>
      </c>
      <c r="H106" s="4">
        <v>9.7000000000000003E-2</v>
      </c>
      <c r="I106" s="2" t="s">
        <v>31</v>
      </c>
    </row>
    <row r="107" spans="1:9" ht="15" customHeight="1" x14ac:dyDescent="0.2">
      <c r="A107" s="322"/>
      <c r="B107" s="303"/>
      <c r="C107" s="281" t="s">
        <v>76</v>
      </c>
      <c r="D107" s="4">
        <v>1.4E-2</v>
      </c>
      <c r="E107" s="4">
        <v>1.0999999999999999E-2</v>
      </c>
      <c r="F107" s="4">
        <v>7.0000000000000001E-3</v>
      </c>
      <c r="G107" s="4">
        <v>1.4999999999999999E-2</v>
      </c>
      <c r="H107" s="5">
        <v>0.01</v>
      </c>
      <c r="I107" s="3"/>
    </row>
    <row r="108" spans="1:9" ht="17" x14ac:dyDescent="0.2">
      <c r="A108" s="322"/>
      <c r="B108" s="303"/>
      <c r="C108" s="281" t="s">
        <v>33</v>
      </c>
      <c r="D108" s="4"/>
      <c r="E108" s="4"/>
      <c r="F108" s="4"/>
      <c r="G108" s="4"/>
      <c r="H108" s="4"/>
      <c r="I108" s="2"/>
    </row>
    <row r="109" spans="1:9" ht="15" customHeight="1" x14ac:dyDescent="0.2">
      <c r="A109" s="321"/>
      <c r="B109" s="315" t="s">
        <v>34</v>
      </c>
      <c r="C109" s="1" t="s">
        <v>35</v>
      </c>
      <c r="D109" s="4"/>
      <c r="E109" s="4"/>
      <c r="F109" s="4"/>
      <c r="G109" s="4"/>
      <c r="H109" s="5"/>
      <c r="I109" s="3"/>
    </row>
    <row r="110" spans="1:9" ht="15.75" customHeight="1" x14ac:dyDescent="0.2">
      <c r="A110" s="321"/>
      <c r="B110" s="315"/>
      <c r="C110" s="1" t="s">
        <v>36</v>
      </c>
      <c r="D110" s="4">
        <v>0.01</v>
      </c>
      <c r="E110" s="4">
        <v>8.0000000000000002E-3</v>
      </c>
      <c r="F110" s="4">
        <v>8.0000000000000002E-3</v>
      </c>
      <c r="G110" s="4">
        <v>8.0000000000000002E-3</v>
      </c>
      <c r="H110" s="4">
        <v>8.0000000000000002E-3</v>
      </c>
      <c r="I110" s="4">
        <v>7.0000000000000001E-3</v>
      </c>
    </row>
    <row r="111" spans="1:9" ht="16" x14ac:dyDescent="0.2">
      <c r="A111" s="321"/>
      <c r="B111" s="315"/>
      <c r="C111" t="s">
        <v>37</v>
      </c>
      <c r="D111" s="4">
        <v>0.01</v>
      </c>
      <c r="E111" s="4">
        <v>8.0000000000000002E-3</v>
      </c>
      <c r="F111" s="4">
        <v>8.0000000000000002E-3</v>
      </c>
      <c r="G111" s="4">
        <v>8.0000000000000002E-3</v>
      </c>
      <c r="H111" s="4">
        <v>8.0000000000000002E-3</v>
      </c>
      <c r="I111" s="4"/>
    </row>
    <row r="112" spans="1:9" ht="17" x14ac:dyDescent="0.2">
      <c r="A112" s="321"/>
      <c r="B112" s="315"/>
      <c r="C112" s="281" t="s">
        <v>38</v>
      </c>
      <c r="D112" s="4"/>
      <c r="E112" s="4"/>
      <c r="F112" s="4"/>
      <c r="G112" s="4"/>
      <c r="H112" s="4"/>
      <c r="I112" s="4"/>
    </row>
    <row r="113" spans="1:9" ht="16" x14ac:dyDescent="0.2">
      <c r="A113" s="321"/>
      <c r="B113" s="315"/>
      <c r="C113" t="s">
        <v>39</v>
      </c>
      <c r="D113" s="4">
        <v>4.2000000000000003E-2</v>
      </c>
      <c r="E113" s="4">
        <v>2.9000000000000001E-2</v>
      </c>
      <c r="F113" s="4">
        <v>3.5999999999999997E-2</v>
      </c>
      <c r="G113" s="4">
        <v>3.2000000000000001E-2</v>
      </c>
      <c r="H113" s="4">
        <v>3.6999999999999998E-2</v>
      </c>
      <c r="I113" s="4"/>
    </row>
    <row r="114" spans="1:9" ht="16" x14ac:dyDescent="0.2">
      <c r="A114" s="321"/>
      <c r="B114" s="315"/>
      <c r="C114" t="s">
        <v>40</v>
      </c>
      <c r="D114" s="4"/>
      <c r="E114" s="4"/>
      <c r="F114" s="4"/>
      <c r="G114" s="4"/>
      <c r="H114" s="4"/>
      <c r="I114" s="4"/>
    </row>
    <row r="115" spans="1:9" ht="17" x14ac:dyDescent="0.2">
      <c r="A115" s="321"/>
      <c r="B115" s="315"/>
      <c r="C115" s="1" t="s">
        <v>41</v>
      </c>
      <c r="D115" s="4">
        <v>1.0999999999999999E-2</v>
      </c>
      <c r="E115" s="4">
        <v>1.4E-2</v>
      </c>
      <c r="F115" s="4">
        <v>1.0999999999999999E-2</v>
      </c>
      <c r="G115" s="4">
        <v>1.2999999999999999E-2</v>
      </c>
      <c r="H115" s="4">
        <v>1.4E-2</v>
      </c>
      <c r="I115" s="2"/>
    </row>
    <row r="116" spans="1:9" ht="17" x14ac:dyDescent="0.2">
      <c r="A116" s="321"/>
      <c r="B116" s="315"/>
      <c r="C116" s="281" t="s">
        <v>42</v>
      </c>
      <c r="D116" s="4"/>
      <c r="E116" s="4"/>
      <c r="F116" s="4"/>
      <c r="G116" s="4"/>
      <c r="H116" s="4"/>
      <c r="I116" s="2"/>
    </row>
    <row r="117" spans="1:9" ht="15.75" customHeight="1" x14ac:dyDescent="0.2">
      <c r="A117" s="321"/>
      <c r="B117" s="315"/>
      <c r="C117" s="1" t="s">
        <v>43</v>
      </c>
      <c r="D117" s="4">
        <v>1.0999999999999999E-2</v>
      </c>
      <c r="E117" s="4">
        <v>1.4E-2</v>
      </c>
      <c r="F117" s="4">
        <v>1.0999999999999999E-2</v>
      </c>
      <c r="G117" s="4">
        <v>1.2999999999999999E-2</v>
      </c>
      <c r="H117" s="4">
        <v>1.4E-2</v>
      </c>
      <c r="I117" s="2"/>
    </row>
    <row r="118" spans="1:9" ht="17" x14ac:dyDescent="0.2">
      <c r="A118" s="321"/>
      <c r="B118" s="315"/>
      <c r="C118" s="281" t="s">
        <v>44</v>
      </c>
      <c r="D118" s="4"/>
      <c r="E118" s="4"/>
      <c r="F118" s="4"/>
      <c r="G118" s="4"/>
      <c r="H118" s="4"/>
      <c r="I118" s="2"/>
    </row>
    <row r="119" spans="1:9" ht="17" x14ac:dyDescent="0.2">
      <c r="A119" s="321"/>
      <c r="B119" s="315"/>
      <c r="C119" s="1" t="s">
        <v>45</v>
      </c>
      <c r="D119" s="4">
        <v>2E-3</v>
      </c>
      <c r="E119" s="4">
        <v>2E-3</v>
      </c>
      <c r="F119" s="4">
        <v>2E-3</v>
      </c>
      <c r="G119" s="4">
        <v>3.0000000000000001E-3</v>
      </c>
      <c r="H119" s="4">
        <v>4.0000000000000001E-3</v>
      </c>
      <c r="I119" s="2"/>
    </row>
    <row r="120" spans="1:9" ht="17" x14ac:dyDescent="0.2">
      <c r="A120" s="321"/>
      <c r="B120" s="315"/>
      <c r="C120" s="281" t="s">
        <v>46</v>
      </c>
      <c r="D120" s="4"/>
      <c r="E120" s="4"/>
      <c r="F120" s="4"/>
      <c r="G120" s="4"/>
      <c r="H120" s="4"/>
      <c r="I120" s="2"/>
    </row>
    <row r="121" spans="1:9" ht="17" x14ac:dyDescent="0.2">
      <c r="A121" s="321"/>
      <c r="B121" s="315"/>
      <c r="C121" s="1" t="s">
        <v>47</v>
      </c>
      <c r="D121" s="2">
        <v>0.3</v>
      </c>
      <c r="E121" s="2">
        <v>0.2</v>
      </c>
      <c r="F121" s="2">
        <v>0.3</v>
      </c>
      <c r="G121" s="2">
        <v>0.6</v>
      </c>
      <c r="H121" s="2">
        <v>0.9</v>
      </c>
      <c r="I121" s="2"/>
    </row>
    <row r="122" spans="1:9" ht="17" x14ac:dyDescent="0.2">
      <c r="A122" s="321"/>
      <c r="B122" s="315"/>
      <c r="C122" s="1" t="s">
        <v>48</v>
      </c>
      <c r="D122" s="2"/>
      <c r="E122" s="2"/>
      <c r="F122" s="2"/>
      <c r="G122" s="2"/>
      <c r="H122" s="2"/>
      <c r="I122" s="2"/>
    </row>
    <row r="123" spans="1:9" ht="17" x14ac:dyDescent="0.2">
      <c r="A123" s="321"/>
      <c r="B123" s="315"/>
      <c r="C123" s="1" t="s">
        <v>49</v>
      </c>
      <c r="D123" s="2"/>
      <c r="E123" s="2"/>
      <c r="F123" s="2"/>
      <c r="G123" s="2"/>
      <c r="H123" s="2"/>
      <c r="I123" s="2"/>
    </row>
    <row r="124" spans="1:9" ht="17" x14ac:dyDescent="0.2">
      <c r="A124" s="321"/>
      <c r="B124" s="315"/>
      <c r="C124" s="1" t="s">
        <v>50</v>
      </c>
      <c r="D124" s="2"/>
      <c r="E124" s="2"/>
      <c r="F124" s="2"/>
      <c r="G124" s="2"/>
      <c r="H124" s="2"/>
      <c r="I124" s="2"/>
    </row>
    <row r="125" spans="1:9" ht="17" x14ac:dyDescent="0.2">
      <c r="A125" s="321"/>
      <c r="B125" s="315"/>
      <c r="C125" s="1" t="s">
        <v>51</v>
      </c>
      <c r="D125" s="2"/>
      <c r="E125" s="2"/>
      <c r="F125" s="2"/>
      <c r="G125" s="2"/>
      <c r="H125" s="2"/>
      <c r="I125" s="2"/>
    </row>
    <row r="126" spans="1:9" ht="17" x14ac:dyDescent="0.2">
      <c r="A126" s="321"/>
      <c r="B126" s="316"/>
      <c r="C126" s="1" t="s">
        <v>77</v>
      </c>
      <c r="D126" s="2">
        <v>0.3</v>
      </c>
      <c r="E126" s="2">
        <v>0.2</v>
      </c>
      <c r="F126" s="2">
        <v>0.3</v>
      </c>
      <c r="G126" s="2">
        <v>0.6</v>
      </c>
      <c r="H126" s="2">
        <v>0.9</v>
      </c>
      <c r="I126" s="2"/>
    </row>
    <row r="127" spans="1:9" ht="17" x14ac:dyDescent="0.2">
      <c r="A127" s="321"/>
      <c r="B127" s="317" t="s">
        <v>53</v>
      </c>
      <c r="C127" s="1" t="s">
        <v>54</v>
      </c>
      <c r="D127" s="4">
        <v>4.2999999999999997E-2</v>
      </c>
      <c r="E127" s="4">
        <v>0.02</v>
      </c>
      <c r="F127" s="4">
        <v>3.1E-2</v>
      </c>
      <c r="G127" s="5">
        <v>2.4E-2</v>
      </c>
      <c r="H127" s="5">
        <v>2.7E-2</v>
      </c>
      <c r="I127" s="2"/>
    </row>
    <row r="128" spans="1:9" ht="17" x14ac:dyDescent="0.2">
      <c r="A128" s="321"/>
      <c r="B128" s="315"/>
      <c r="C128" s="1" t="s">
        <v>55</v>
      </c>
      <c r="D128" s="4">
        <v>0.126</v>
      </c>
      <c r="E128" s="4">
        <v>0.35</v>
      </c>
      <c r="F128" s="4">
        <v>0.48599999999999999</v>
      </c>
      <c r="G128" s="4">
        <v>0.311</v>
      </c>
      <c r="H128" s="4">
        <v>0.41</v>
      </c>
      <c r="I128" s="2"/>
    </row>
    <row r="129" spans="1:9" ht="17" x14ac:dyDescent="0.2">
      <c r="A129" s="321"/>
      <c r="B129" s="315"/>
      <c r="C129" s="1" t="s">
        <v>56</v>
      </c>
      <c r="D129" s="4">
        <v>0.126</v>
      </c>
      <c r="E129" s="4">
        <v>0.35</v>
      </c>
      <c r="F129" s="4">
        <v>0.48599999999999999</v>
      </c>
      <c r="G129" s="4">
        <v>0.311</v>
      </c>
      <c r="H129" s="4">
        <v>0.41</v>
      </c>
      <c r="I129" s="2"/>
    </row>
    <row r="130" spans="1:9" ht="17" x14ac:dyDescent="0.2">
      <c r="A130" s="321"/>
      <c r="B130" s="315"/>
      <c r="C130" s="1" t="s">
        <v>57</v>
      </c>
      <c r="D130" s="4">
        <v>0.126</v>
      </c>
      <c r="E130" s="4">
        <v>0.35</v>
      </c>
      <c r="F130" s="4">
        <v>0.48599999999999999</v>
      </c>
      <c r="G130" s="4">
        <v>0.311</v>
      </c>
      <c r="H130" s="4">
        <v>0.41</v>
      </c>
      <c r="I130" s="2"/>
    </row>
    <row r="131" spans="1:9" ht="17" x14ac:dyDescent="0.2">
      <c r="A131" s="321"/>
      <c r="B131" s="315"/>
      <c r="C131" s="1" t="s">
        <v>58</v>
      </c>
      <c r="D131" s="4"/>
      <c r="E131" s="4"/>
      <c r="F131" s="4"/>
      <c r="G131" s="4"/>
      <c r="H131" s="4"/>
      <c r="I131" s="2"/>
    </row>
    <row r="132" spans="1:9" ht="17" x14ac:dyDescent="0.2">
      <c r="A132" s="321"/>
      <c r="B132" s="316"/>
      <c r="C132" s="1" t="s">
        <v>59</v>
      </c>
      <c r="D132" s="4">
        <v>1.403</v>
      </c>
      <c r="E132" s="4">
        <v>0.95299999999999996</v>
      </c>
      <c r="F132" s="4">
        <v>0.375</v>
      </c>
      <c r="G132" s="4">
        <v>0.74099999999999999</v>
      </c>
      <c r="H132" s="5">
        <v>0.64800000000000002</v>
      </c>
      <c r="I132" s="2"/>
    </row>
    <row r="133" spans="1:9" ht="13.5" customHeight="1" x14ac:dyDescent="0.2">
      <c r="A133" s="321"/>
      <c r="B133" s="317" t="s">
        <v>60</v>
      </c>
      <c r="C133" s="1" t="s">
        <v>61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3"/>
    </row>
    <row r="134" spans="1:9" ht="17" x14ac:dyDescent="0.2">
      <c r="A134" s="321"/>
      <c r="B134" s="315"/>
      <c r="C134" s="1" t="s">
        <v>62</v>
      </c>
      <c r="D134" s="4"/>
      <c r="E134" s="4"/>
      <c r="F134" s="4"/>
      <c r="G134" s="6"/>
      <c r="H134" s="6"/>
      <c r="I134" s="2"/>
    </row>
    <row r="135" spans="1:9" ht="15.75" customHeight="1" x14ac:dyDescent="0.2">
      <c r="A135" s="321"/>
      <c r="B135" s="315"/>
      <c r="C135" s="1" t="s">
        <v>65</v>
      </c>
      <c r="D135" s="4"/>
      <c r="E135" s="4"/>
      <c r="F135" s="4"/>
      <c r="G135" s="6"/>
      <c r="H135" s="6"/>
      <c r="I135" s="2"/>
    </row>
    <row r="136" spans="1:9" ht="17" x14ac:dyDescent="0.2">
      <c r="A136" s="321"/>
      <c r="B136" s="315"/>
      <c r="C136" s="1" t="s">
        <v>63</v>
      </c>
      <c r="D136" s="4">
        <v>7.6999999999999999E-2</v>
      </c>
      <c r="E136" s="4">
        <v>8.1000000000000003E-2</v>
      </c>
      <c r="F136" s="4">
        <v>9.0999999999999998E-2</v>
      </c>
      <c r="G136" s="6">
        <v>9.8000000000000004E-2</v>
      </c>
      <c r="H136" s="6">
        <v>0.1</v>
      </c>
      <c r="I136" s="2" t="s">
        <v>64</v>
      </c>
    </row>
    <row r="137" spans="1:9" ht="17" x14ac:dyDescent="0.2">
      <c r="A137" s="321"/>
      <c r="B137" s="315"/>
      <c r="C137" s="1" t="s">
        <v>66</v>
      </c>
      <c r="D137" s="2" t="s">
        <v>67</v>
      </c>
      <c r="E137" s="2" t="s">
        <v>67</v>
      </c>
      <c r="F137" s="2" t="s">
        <v>67</v>
      </c>
      <c r="G137" s="2" t="s">
        <v>67</v>
      </c>
      <c r="H137" s="2"/>
      <c r="I137" s="2"/>
    </row>
    <row r="138" spans="1:9" ht="17" x14ac:dyDescent="0.2">
      <c r="A138" s="322"/>
      <c r="B138" s="303" t="s">
        <v>68</v>
      </c>
      <c r="C138" s="281" t="s">
        <v>69</v>
      </c>
      <c r="D138" s="4"/>
      <c r="E138" s="4"/>
      <c r="F138" s="4"/>
      <c r="G138" s="4"/>
      <c r="H138" s="4"/>
      <c r="I138" s="2"/>
    </row>
    <row r="139" spans="1:9" ht="17" x14ac:dyDescent="0.2">
      <c r="A139" s="322"/>
      <c r="B139" s="303"/>
      <c r="C139" s="281" t="s">
        <v>70</v>
      </c>
      <c r="D139" s="4"/>
      <c r="E139" s="4"/>
      <c r="F139" s="4"/>
      <c r="G139" s="4"/>
      <c r="H139" s="4"/>
      <c r="I139" s="2"/>
    </row>
    <row r="140" spans="1:9" ht="17" x14ac:dyDescent="0.2">
      <c r="A140" s="322"/>
      <c r="B140" s="303"/>
      <c r="C140" s="281" t="s">
        <v>71</v>
      </c>
      <c r="D140" s="4"/>
      <c r="E140" s="4"/>
      <c r="F140" s="4"/>
      <c r="G140" s="4"/>
      <c r="H140" s="4"/>
      <c r="I140" s="2"/>
    </row>
    <row r="141" spans="1:9" ht="17" x14ac:dyDescent="0.2">
      <c r="A141" s="322"/>
      <c r="B141" s="303"/>
      <c r="C141" s="281" t="s">
        <v>70</v>
      </c>
      <c r="D141" s="4"/>
      <c r="E141" s="4"/>
      <c r="F141" s="4"/>
      <c r="G141" s="4"/>
      <c r="H141" s="4"/>
      <c r="I141" s="2"/>
    </row>
    <row r="142" spans="1:9" ht="17" x14ac:dyDescent="0.2">
      <c r="A142" s="322"/>
      <c r="B142" s="303"/>
      <c r="C142" s="281" t="s">
        <v>72</v>
      </c>
      <c r="D142" s="4"/>
      <c r="E142" s="4"/>
      <c r="F142" s="4"/>
      <c r="G142" s="4"/>
      <c r="H142" s="4"/>
      <c r="I142" s="2"/>
    </row>
    <row r="143" spans="1:9" ht="14.5" customHeight="1" x14ac:dyDescent="0.2">
      <c r="A143" s="322"/>
      <c r="B143" s="303"/>
      <c r="C143" s="281" t="s">
        <v>70</v>
      </c>
      <c r="D143" s="4"/>
      <c r="E143" s="4"/>
      <c r="F143" s="4"/>
      <c r="G143" s="4"/>
      <c r="H143" s="4"/>
      <c r="I143" s="2"/>
    </row>
    <row r="145" spans="1:9" ht="34" x14ac:dyDescent="0.2">
      <c r="A145" s="322" t="s">
        <v>79</v>
      </c>
      <c r="B145" s="14" t="s">
        <v>3</v>
      </c>
      <c r="C145" s="14" t="s">
        <v>4</v>
      </c>
      <c r="D145" s="15" t="s">
        <v>5</v>
      </c>
      <c r="E145" s="15" t="s">
        <v>6</v>
      </c>
      <c r="F145" s="15" t="s">
        <v>7</v>
      </c>
      <c r="G145" s="15" t="s">
        <v>8</v>
      </c>
      <c r="H145" s="15" t="s">
        <v>9</v>
      </c>
      <c r="I145" s="16" t="s">
        <v>10</v>
      </c>
    </row>
    <row r="146" spans="1:9" ht="17" x14ac:dyDescent="0.2">
      <c r="A146" s="322"/>
      <c r="B146" s="317" t="s">
        <v>13</v>
      </c>
      <c r="C146" s="1" t="s">
        <v>12</v>
      </c>
      <c r="D146" s="2">
        <v>141.5</v>
      </c>
      <c r="E146" s="2">
        <v>176.7</v>
      </c>
      <c r="F146" s="2">
        <v>215</v>
      </c>
      <c r="G146" s="2">
        <v>261.39999999999998</v>
      </c>
      <c r="H146" s="2">
        <v>304.7</v>
      </c>
      <c r="I146" s="2"/>
    </row>
    <row r="147" spans="1:9" ht="17" x14ac:dyDescent="0.2">
      <c r="A147" s="322"/>
      <c r="B147" s="315"/>
      <c r="C147" s="288" t="s">
        <v>17</v>
      </c>
      <c r="D147" s="2"/>
      <c r="E147" s="2"/>
      <c r="F147" s="2"/>
      <c r="G147" s="2"/>
      <c r="H147" s="2"/>
      <c r="I147" s="2"/>
    </row>
    <row r="148" spans="1:9" ht="17" x14ac:dyDescent="0.2">
      <c r="A148" s="322"/>
      <c r="B148" s="315"/>
      <c r="C148" s="288" t="s">
        <v>18</v>
      </c>
      <c r="D148" s="2"/>
      <c r="E148" s="2"/>
      <c r="F148" s="2"/>
      <c r="G148" s="2"/>
      <c r="H148" s="2"/>
      <c r="I148" s="2"/>
    </row>
    <row r="149" spans="1:9" ht="17" x14ac:dyDescent="0.2">
      <c r="A149" s="322"/>
      <c r="B149" s="315"/>
      <c r="C149" s="1" t="s">
        <v>19</v>
      </c>
      <c r="D149" s="2">
        <v>35.5</v>
      </c>
      <c r="E149" s="2">
        <v>38.6</v>
      </c>
      <c r="F149" s="2">
        <v>42.8</v>
      </c>
      <c r="G149" s="2">
        <v>50.2</v>
      </c>
      <c r="H149" s="2">
        <v>50.7</v>
      </c>
      <c r="I149" s="2"/>
    </row>
    <row r="150" spans="1:9" ht="17" x14ac:dyDescent="0.2">
      <c r="A150" s="322"/>
      <c r="B150" s="315"/>
      <c r="C150" s="1" t="s">
        <v>22</v>
      </c>
      <c r="D150" s="2">
        <v>17.399999999999999</v>
      </c>
      <c r="E150" s="2">
        <v>17.3</v>
      </c>
      <c r="F150" s="2">
        <v>17.2</v>
      </c>
      <c r="G150" s="2">
        <v>17.399999999999999</v>
      </c>
      <c r="H150" s="2">
        <v>17.899999999999999</v>
      </c>
      <c r="I150" s="2"/>
    </row>
    <row r="151" spans="1:9" ht="15" customHeight="1" x14ac:dyDescent="0.2">
      <c r="A151" s="322"/>
      <c r="B151" s="315"/>
      <c r="C151" s="1" t="s">
        <v>24</v>
      </c>
      <c r="D151" s="2">
        <v>17.399999999999999</v>
      </c>
      <c r="E151" s="2">
        <v>17.3</v>
      </c>
      <c r="F151" s="2">
        <v>17.2</v>
      </c>
      <c r="G151" s="2">
        <v>17.399999999999999</v>
      </c>
      <c r="H151" s="2">
        <v>17.899999999999999</v>
      </c>
      <c r="I151" s="3"/>
    </row>
    <row r="152" spans="1:9" ht="16" customHeight="1" x14ac:dyDescent="0.2">
      <c r="A152" s="322"/>
      <c r="B152" s="315"/>
      <c r="C152" s="1" t="s">
        <v>75</v>
      </c>
      <c r="D152" s="2">
        <v>37</v>
      </c>
      <c r="E152" s="2">
        <v>38</v>
      </c>
      <c r="F152" s="2">
        <v>38</v>
      </c>
      <c r="G152" s="2">
        <v>38</v>
      </c>
      <c r="H152" s="2">
        <v>38</v>
      </c>
      <c r="I152" s="3"/>
    </row>
    <row r="153" spans="1:9" ht="15" customHeight="1" x14ac:dyDescent="0.2">
      <c r="A153" s="322"/>
      <c r="B153" s="315"/>
      <c r="C153" s="1" t="s">
        <v>28</v>
      </c>
      <c r="D153" s="2">
        <v>2.1</v>
      </c>
      <c r="E153" s="2">
        <v>2.2999999999999998</v>
      </c>
      <c r="F153" s="2">
        <v>2.2999999999999998</v>
      </c>
      <c r="G153" s="2">
        <v>2.2999999999999998</v>
      </c>
      <c r="H153" s="2">
        <v>2.2999999999999998</v>
      </c>
      <c r="I153" s="3"/>
    </row>
    <row r="154" spans="1:9" ht="17" x14ac:dyDescent="0.2">
      <c r="A154" s="322"/>
      <c r="B154" s="303" t="s">
        <v>29</v>
      </c>
      <c r="C154" s="281" t="s">
        <v>30</v>
      </c>
      <c r="D154" s="4">
        <v>0.123</v>
      </c>
      <c r="E154" s="4">
        <v>0.107</v>
      </c>
      <c r="F154" s="4">
        <v>0.109</v>
      </c>
      <c r="G154" s="4">
        <v>9.6000000000000002E-2</v>
      </c>
      <c r="H154" s="4">
        <v>9.7000000000000003E-2</v>
      </c>
      <c r="I154" s="2" t="s">
        <v>31</v>
      </c>
    </row>
    <row r="155" spans="1:9" ht="16" customHeight="1" x14ac:dyDescent="0.2">
      <c r="A155" s="322"/>
      <c r="B155" s="303"/>
      <c r="C155" s="281" t="s">
        <v>76</v>
      </c>
      <c r="D155" s="4">
        <v>1.4E-2</v>
      </c>
      <c r="E155" s="4">
        <v>1.0999999999999999E-2</v>
      </c>
      <c r="F155" s="4">
        <v>7.0000000000000001E-3</v>
      </c>
      <c r="G155" s="4">
        <v>1.4999999999999999E-2</v>
      </c>
      <c r="H155" s="5">
        <v>0.01</v>
      </c>
      <c r="I155" s="3"/>
    </row>
    <row r="156" spans="1:9" ht="17" x14ac:dyDescent="0.2">
      <c r="A156" s="322"/>
      <c r="B156" s="303"/>
      <c r="C156" s="281" t="s">
        <v>33</v>
      </c>
      <c r="D156" s="4"/>
      <c r="E156" s="4"/>
      <c r="F156" s="4"/>
      <c r="G156" s="4"/>
      <c r="H156" s="4"/>
      <c r="I156" s="2"/>
    </row>
    <row r="157" spans="1:9" ht="16" customHeight="1" x14ac:dyDescent="0.2">
      <c r="A157" s="322"/>
      <c r="B157" s="315" t="s">
        <v>34</v>
      </c>
      <c r="C157" s="1" t="s">
        <v>35</v>
      </c>
      <c r="D157" s="4"/>
      <c r="E157" s="4"/>
      <c r="F157" s="4"/>
      <c r="G157" s="4"/>
      <c r="H157" s="5"/>
      <c r="I157" s="3"/>
    </row>
    <row r="158" spans="1:9" ht="15.75" customHeight="1" x14ac:dyDescent="0.2">
      <c r="A158" s="322"/>
      <c r="B158" s="315"/>
      <c r="C158" s="1" t="s">
        <v>36</v>
      </c>
      <c r="D158" s="4">
        <v>0.01</v>
      </c>
      <c r="E158" s="4">
        <v>8.0000000000000002E-3</v>
      </c>
      <c r="F158" s="4">
        <v>8.0000000000000002E-3</v>
      </c>
      <c r="G158" s="4">
        <v>8.0000000000000002E-3</v>
      </c>
      <c r="H158" s="4">
        <v>8.0000000000000002E-3</v>
      </c>
      <c r="I158" s="4">
        <v>7.0000000000000001E-3</v>
      </c>
    </row>
    <row r="159" spans="1:9" ht="16" x14ac:dyDescent="0.2">
      <c r="A159" s="322"/>
      <c r="B159" s="315"/>
      <c r="C159" t="s">
        <v>37</v>
      </c>
      <c r="D159" s="4">
        <v>0.01</v>
      </c>
      <c r="E159" s="4">
        <v>8.0000000000000002E-3</v>
      </c>
      <c r="F159" s="4">
        <v>8.0000000000000002E-3</v>
      </c>
      <c r="G159" s="4">
        <v>8.0000000000000002E-3</v>
      </c>
      <c r="H159" s="4">
        <v>8.0000000000000002E-3</v>
      </c>
      <c r="I159" s="4"/>
    </row>
    <row r="160" spans="1:9" ht="17" x14ac:dyDescent="0.2">
      <c r="A160" s="322"/>
      <c r="B160" s="315"/>
      <c r="C160" s="281" t="s">
        <v>38</v>
      </c>
      <c r="D160" s="4"/>
      <c r="E160" s="4"/>
      <c r="F160" s="4"/>
      <c r="G160" s="4"/>
      <c r="H160" s="4"/>
      <c r="I160" s="4"/>
    </row>
    <row r="161" spans="1:9" ht="16" x14ac:dyDescent="0.2">
      <c r="A161" s="322"/>
      <c r="B161" s="315"/>
      <c r="C161" t="s">
        <v>39</v>
      </c>
      <c r="D161" s="4">
        <v>4.2000000000000003E-2</v>
      </c>
      <c r="E161" s="4">
        <v>2.9000000000000001E-2</v>
      </c>
      <c r="F161" s="4">
        <v>3.5999999999999997E-2</v>
      </c>
      <c r="G161" s="4">
        <v>3.2000000000000001E-2</v>
      </c>
      <c r="H161" s="4">
        <v>3.6999999999999998E-2</v>
      </c>
      <c r="I161" s="4"/>
    </row>
    <row r="162" spans="1:9" ht="16" x14ac:dyDescent="0.2">
      <c r="A162" s="322"/>
      <c r="B162" s="315"/>
      <c r="C162" t="s">
        <v>40</v>
      </c>
      <c r="D162" s="4"/>
      <c r="E162" s="4"/>
      <c r="F162" s="4"/>
      <c r="G162" s="4"/>
      <c r="H162" s="4"/>
      <c r="I162" s="4"/>
    </row>
    <row r="163" spans="1:9" ht="17" x14ac:dyDescent="0.2">
      <c r="A163" s="322"/>
      <c r="B163" s="315"/>
      <c r="C163" s="1" t="s">
        <v>41</v>
      </c>
      <c r="D163" s="4">
        <v>1.0999999999999999E-2</v>
      </c>
      <c r="E163" s="4">
        <v>1.4E-2</v>
      </c>
      <c r="F163" s="4">
        <v>1.0999999999999999E-2</v>
      </c>
      <c r="G163" s="4">
        <v>1.2999999999999999E-2</v>
      </c>
      <c r="H163" s="4">
        <v>1.4E-2</v>
      </c>
      <c r="I163" s="2"/>
    </row>
    <row r="164" spans="1:9" ht="17" x14ac:dyDescent="0.2">
      <c r="A164" s="322"/>
      <c r="B164" s="315"/>
      <c r="C164" s="281" t="s">
        <v>42</v>
      </c>
      <c r="D164" s="4"/>
      <c r="E164" s="4"/>
      <c r="F164" s="4"/>
      <c r="G164" s="4"/>
      <c r="H164" s="4"/>
      <c r="I164" s="2"/>
    </row>
    <row r="165" spans="1:9" ht="15" customHeight="1" x14ac:dyDescent="0.2">
      <c r="A165" s="322"/>
      <c r="B165" s="315"/>
      <c r="C165" s="1" t="s">
        <v>43</v>
      </c>
      <c r="D165" s="4">
        <v>1.0999999999999999E-2</v>
      </c>
      <c r="E165" s="4">
        <v>1.4E-2</v>
      </c>
      <c r="F165" s="4">
        <v>1.0999999999999999E-2</v>
      </c>
      <c r="G165" s="4">
        <v>1.2999999999999999E-2</v>
      </c>
      <c r="H165" s="4">
        <v>1.4E-2</v>
      </c>
      <c r="I165" s="2"/>
    </row>
    <row r="166" spans="1:9" ht="17" x14ac:dyDescent="0.2">
      <c r="A166" s="322"/>
      <c r="B166" s="315"/>
      <c r="C166" s="281" t="s">
        <v>44</v>
      </c>
      <c r="D166" s="4"/>
      <c r="E166" s="4"/>
      <c r="F166" s="4"/>
      <c r="G166" s="4"/>
      <c r="H166" s="4"/>
      <c r="I166" s="2"/>
    </row>
    <row r="167" spans="1:9" ht="17" x14ac:dyDescent="0.2">
      <c r="A167" s="322"/>
      <c r="B167" s="315"/>
      <c r="C167" s="1" t="s">
        <v>45</v>
      </c>
      <c r="D167" s="4">
        <v>2E-3</v>
      </c>
      <c r="E167" s="4">
        <v>2E-3</v>
      </c>
      <c r="F167" s="4">
        <v>2E-3</v>
      </c>
      <c r="G167" s="4">
        <v>3.0000000000000001E-3</v>
      </c>
      <c r="H167" s="4">
        <v>4.0000000000000001E-3</v>
      </c>
      <c r="I167" s="2"/>
    </row>
    <row r="168" spans="1:9" ht="17" x14ac:dyDescent="0.2">
      <c r="A168" s="322"/>
      <c r="B168" s="315"/>
      <c r="C168" s="281" t="s">
        <v>46</v>
      </c>
      <c r="D168" s="4"/>
      <c r="E168" s="4"/>
      <c r="F168" s="4"/>
      <c r="G168" s="4"/>
      <c r="H168" s="4"/>
      <c r="I168" s="2"/>
    </row>
    <row r="169" spans="1:9" ht="17" x14ac:dyDescent="0.2">
      <c r="A169" s="322"/>
      <c r="B169" s="315"/>
      <c r="C169" s="1" t="s">
        <v>47</v>
      </c>
      <c r="D169" s="2">
        <v>0.3</v>
      </c>
      <c r="E169" s="2">
        <v>0.2</v>
      </c>
      <c r="F169" s="2">
        <v>0.3</v>
      </c>
      <c r="G169" s="2">
        <v>0.6</v>
      </c>
      <c r="H169" s="2">
        <v>0.9</v>
      </c>
      <c r="I169" s="2"/>
    </row>
    <row r="170" spans="1:9" ht="17" x14ac:dyDescent="0.2">
      <c r="A170" s="322"/>
      <c r="B170" s="315"/>
      <c r="C170" s="1" t="s">
        <v>48</v>
      </c>
      <c r="D170" s="2"/>
      <c r="E170" s="2"/>
      <c r="F170" s="2"/>
      <c r="G170" s="2"/>
      <c r="H170" s="2"/>
      <c r="I170" s="2"/>
    </row>
    <row r="171" spans="1:9" ht="17" x14ac:dyDescent="0.2">
      <c r="A171" s="322"/>
      <c r="B171" s="315"/>
      <c r="C171" s="1" t="s">
        <v>49</v>
      </c>
      <c r="D171" s="2"/>
      <c r="E171" s="2"/>
      <c r="F171" s="2"/>
      <c r="G171" s="2"/>
      <c r="H171" s="2"/>
      <c r="I171" s="2"/>
    </row>
    <row r="172" spans="1:9" ht="17" x14ac:dyDescent="0.2">
      <c r="A172" s="322"/>
      <c r="B172" s="315"/>
      <c r="C172" s="1" t="s">
        <v>50</v>
      </c>
      <c r="D172" s="2"/>
      <c r="E172" s="2"/>
      <c r="F172" s="2"/>
      <c r="G172" s="2"/>
      <c r="H172" s="2"/>
      <c r="I172" s="2"/>
    </row>
    <row r="173" spans="1:9" ht="17" x14ac:dyDescent="0.2">
      <c r="A173" s="322"/>
      <c r="B173" s="315"/>
      <c r="C173" s="1" t="s">
        <v>51</v>
      </c>
      <c r="D173" s="2"/>
      <c r="E173" s="2"/>
      <c r="F173" s="2"/>
      <c r="G173" s="2"/>
      <c r="H173" s="2"/>
      <c r="I173" s="2"/>
    </row>
    <row r="174" spans="1:9" ht="17" x14ac:dyDescent="0.2">
      <c r="A174" s="322"/>
      <c r="B174" s="316"/>
      <c r="C174" s="1" t="s">
        <v>77</v>
      </c>
      <c r="D174" s="2">
        <v>0.3</v>
      </c>
      <c r="E174" s="2">
        <v>0.2</v>
      </c>
      <c r="F174" s="2">
        <v>0.3</v>
      </c>
      <c r="G174" s="2">
        <v>0.6</v>
      </c>
      <c r="H174" s="2">
        <v>0.9</v>
      </c>
      <c r="I174" s="2"/>
    </row>
    <row r="175" spans="1:9" ht="17" x14ac:dyDescent="0.2">
      <c r="A175" s="322"/>
      <c r="B175" s="317" t="s">
        <v>53</v>
      </c>
      <c r="C175" s="1" t="s">
        <v>54</v>
      </c>
      <c r="D175" s="4">
        <v>4.2999999999999997E-2</v>
      </c>
      <c r="E175" s="4">
        <v>0.02</v>
      </c>
      <c r="F175" s="4">
        <v>3.1E-2</v>
      </c>
      <c r="G175" s="5">
        <v>2.4E-2</v>
      </c>
      <c r="H175" s="5">
        <v>2.7E-2</v>
      </c>
      <c r="I175" s="2"/>
    </row>
    <row r="176" spans="1:9" ht="17" x14ac:dyDescent="0.2">
      <c r="A176" s="322"/>
      <c r="B176" s="315"/>
      <c r="C176" s="1" t="s">
        <v>55</v>
      </c>
      <c r="D176" s="4">
        <v>0.126</v>
      </c>
      <c r="E176" s="4">
        <v>0.35</v>
      </c>
      <c r="F176" s="4">
        <v>0.48599999999999999</v>
      </c>
      <c r="G176" s="4">
        <v>0.311</v>
      </c>
      <c r="H176" s="4">
        <v>0.41</v>
      </c>
      <c r="I176" s="2"/>
    </row>
    <row r="177" spans="1:9" ht="17" x14ac:dyDescent="0.2">
      <c r="A177" s="322"/>
      <c r="B177" s="315"/>
      <c r="C177" s="1" t="s">
        <v>56</v>
      </c>
      <c r="D177" s="4">
        <v>0.126</v>
      </c>
      <c r="E177" s="4">
        <v>0.35</v>
      </c>
      <c r="F177" s="4">
        <v>0.48599999999999999</v>
      </c>
      <c r="G177" s="4">
        <v>0.311</v>
      </c>
      <c r="H177" s="4">
        <v>0.41</v>
      </c>
      <c r="I177" s="2"/>
    </row>
    <row r="178" spans="1:9" ht="17" x14ac:dyDescent="0.2">
      <c r="A178" s="322"/>
      <c r="B178" s="315"/>
      <c r="C178" s="1" t="s">
        <v>57</v>
      </c>
      <c r="D178" s="4">
        <v>0.126</v>
      </c>
      <c r="E178" s="4">
        <v>0.35</v>
      </c>
      <c r="F178" s="4">
        <v>0.48599999999999999</v>
      </c>
      <c r="G178" s="4">
        <v>0.311</v>
      </c>
      <c r="H178" s="4">
        <v>0.41</v>
      </c>
      <c r="I178" s="2"/>
    </row>
    <row r="179" spans="1:9" ht="17" x14ac:dyDescent="0.2">
      <c r="A179" s="322"/>
      <c r="B179" s="315"/>
      <c r="C179" s="1" t="s">
        <v>58</v>
      </c>
      <c r="D179" s="4"/>
      <c r="E179" s="4"/>
      <c r="F179" s="4"/>
      <c r="G179" s="4"/>
      <c r="H179" s="4"/>
      <c r="I179" s="2"/>
    </row>
    <row r="180" spans="1:9" ht="17" x14ac:dyDescent="0.2">
      <c r="A180" s="322"/>
      <c r="B180" s="316"/>
      <c r="C180" s="1" t="s">
        <v>59</v>
      </c>
      <c r="D180" s="4">
        <v>1.403</v>
      </c>
      <c r="E180" s="4">
        <v>0.95299999999999996</v>
      </c>
      <c r="F180" s="4">
        <v>0.375</v>
      </c>
      <c r="G180" s="4">
        <v>0.74099999999999999</v>
      </c>
      <c r="H180" s="5">
        <v>0.64800000000000002</v>
      </c>
      <c r="I180" s="2"/>
    </row>
    <row r="181" spans="1:9" ht="16" customHeight="1" x14ac:dyDescent="0.2">
      <c r="A181" s="322"/>
      <c r="B181" s="331" t="s">
        <v>60</v>
      </c>
      <c r="C181" s="1" t="s">
        <v>61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3"/>
    </row>
    <row r="182" spans="1:9" ht="15.75" customHeight="1" x14ac:dyDescent="0.2">
      <c r="A182" s="322"/>
      <c r="B182" s="332"/>
      <c r="C182" s="1" t="s">
        <v>62</v>
      </c>
      <c r="D182" s="2"/>
      <c r="E182" s="2"/>
      <c r="F182" s="2"/>
      <c r="G182" s="2"/>
      <c r="H182" s="2"/>
      <c r="I182" s="3"/>
    </row>
    <row r="183" spans="1:9" ht="15.75" customHeight="1" x14ac:dyDescent="0.2">
      <c r="A183" s="322"/>
      <c r="B183" s="332"/>
      <c r="C183" s="1" t="s">
        <v>65</v>
      </c>
      <c r="D183" s="4"/>
      <c r="E183" s="4"/>
      <c r="F183" s="4"/>
      <c r="G183" s="6"/>
      <c r="H183" s="6"/>
      <c r="I183" s="2"/>
    </row>
    <row r="184" spans="1:9" ht="17" x14ac:dyDescent="0.2">
      <c r="A184" s="322"/>
      <c r="B184" s="332"/>
      <c r="C184" s="1" t="s">
        <v>63</v>
      </c>
      <c r="D184" s="4">
        <v>7.6999999999999999E-2</v>
      </c>
      <c r="E184" s="4">
        <v>8.1000000000000003E-2</v>
      </c>
      <c r="F184" s="4">
        <v>9.0999999999999998E-2</v>
      </c>
      <c r="G184" s="6">
        <v>9.8000000000000004E-2</v>
      </c>
      <c r="H184" s="6">
        <v>0.1</v>
      </c>
      <c r="I184" s="2" t="s">
        <v>64</v>
      </c>
    </row>
    <row r="185" spans="1:9" ht="17" x14ac:dyDescent="0.2">
      <c r="A185" s="322"/>
      <c r="B185" s="332"/>
      <c r="C185" s="1" t="s">
        <v>66</v>
      </c>
      <c r="D185" s="2" t="s">
        <v>67</v>
      </c>
      <c r="E185" s="2" t="s">
        <v>67</v>
      </c>
      <c r="F185" s="2" t="s">
        <v>67</v>
      </c>
      <c r="G185" s="2" t="s">
        <v>67</v>
      </c>
      <c r="H185" s="2"/>
      <c r="I185" s="2"/>
    </row>
    <row r="186" spans="1:9" ht="17" x14ac:dyDescent="0.2">
      <c r="A186" s="322"/>
      <c r="B186" s="303" t="s">
        <v>68</v>
      </c>
      <c r="C186" s="281" t="s">
        <v>69</v>
      </c>
      <c r="D186" s="4"/>
      <c r="E186" s="4"/>
      <c r="F186" s="4"/>
      <c r="G186" s="4"/>
      <c r="H186" s="4"/>
      <c r="I186" s="2"/>
    </row>
    <row r="187" spans="1:9" ht="17" x14ac:dyDescent="0.2">
      <c r="A187" s="322"/>
      <c r="B187" s="303"/>
      <c r="C187" s="281" t="s">
        <v>70</v>
      </c>
      <c r="D187" s="4"/>
      <c r="E187" s="4"/>
      <c r="F187" s="4"/>
      <c r="G187" s="4"/>
      <c r="H187" s="4"/>
      <c r="I187" s="2"/>
    </row>
    <row r="188" spans="1:9" ht="17" x14ac:dyDescent="0.2">
      <c r="A188" s="322"/>
      <c r="B188" s="303"/>
      <c r="C188" s="281" t="s">
        <v>71</v>
      </c>
      <c r="D188" s="4"/>
      <c r="E188" s="4"/>
      <c r="F188" s="4"/>
      <c r="G188" s="4"/>
      <c r="H188" s="4"/>
      <c r="I188" s="2"/>
    </row>
    <row r="189" spans="1:9" ht="17" x14ac:dyDescent="0.2">
      <c r="A189" s="322"/>
      <c r="B189" s="303"/>
      <c r="C189" s="281" t="s">
        <v>70</v>
      </c>
      <c r="D189" s="4"/>
      <c r="E189" s="4"/>
      <c r="F189" s="4"/>
      <c r="G189" s="4"/>
      <c r="H189" s="4"/>
      <c r="I189" s="2"/>
    </row>
    <row r="190" spans="1:9" ht="17" x14ac:dyDescent="0.2">
      <c r="A190" s="322"/>
      <c r="B190" s="303"/>
      <c r="C190" s="281" t="s">
        <v>72</v>
      </c>
      <c r="D190" s="4"/>
      <c r="E190" s="4"/>
      <c r="F190" s="4"/>
      <c r="G190" s="4"/>
      <c r="H190" s="4"/>
      <c r="I190" s="2"/>
    </row>
    <row r="191" spans="1:9" ht="17" x14ac:dyDescent="0.2">
      <c r="A191" s="322"/>
      <c r="B191" s="303"/>
      <c r="C191" s="281" t="s">
        <v>70</v>
      </c>
      <c r="D191" s="4"/>
      <c r="E191" s="4"/>
      <c r="F191" s="4"/>
      <c r="G191" s="4"/>
      <c r="H191" s="4"/>
      <c r="I191" s="2"/>
    </row>
    <row r="193" spans="1:9" ht="34" x14ac:dyDescent="0.2">
      <c r="A193" s="322" t="s">
        <v>25</v>
      </c>
      <c r="B193" s="14" t="s">
        <v>3</v>
      </c>
      <c r="C193" s="14" t="s">
        <v>4</v>
      </c>
      <c r="D193" s="15" t="s">
        <v>5</v>
      </c>
      <c r="E193" s="15" t="s">
        <v>6</v>
      </c>
      <c r="F193" s="15" t="s">
        <v>7</v>
      </c>
      <c r="G193" s="15" t="s">
        <v>8</v>
      </c>
      <c r="H193" s="15" t="s">
        <v>9</v>
      </c>
      <c r="I193" s="16" t="s">
        <v>10</v>
      </c>
    </row>
    <row r="194" spans="1:9" ht="17" x14ac:dyDescent="0.2">
      <c r="A194" s="322"/>
      <c r="B194" s="317" t="s">
        <v>13</v>
      </c>
      <c r="C194" s="1" t="s">
        <v>12</v>
      </c>
      <c r="D194" s="2">
        <v>141.5</v>
      </c>
      <c r="E194" s="2">
        <v>176.7</v>
      </c>
      <c r="F194" s="2">
        <v>215</v>
      </c>
      <c r="G194" s="2">
        <v>261.39999999999998</v>
      </c>
      <c r="H194" s="2">
        <v>304.7</v>
      </c>
      <c r="I194" s="2"/>
    </row>
    <row r="195" spans="1:9" ht="17" x14ac:dyDescent="0.2">
      <c r="A195" s="322"/>
      <c r="B195" s="315"/>
      <c r="C195" s="288" t="s">
        <v>17</v>
      </c>
      <c r="D195" s="2"/>
      <c r="E195" s="2"/>
      <c r="F195" s="2"/>
      <c r="G195" s="2"/>
      <c r="H195" s="2"/>
      <c r="I195" s="2"/>
    </row>
    <row r="196" spans="1:9" ht="17" x14ac:dyDescent="0.2">
      <c r="A196" s="322"/>
      <c r="B196" s="315"/>
      <c r="C196" s="288" t="s">
        <v>18</v>
      </c>
      <c r="D196" s="2"/>
      <c r="E196" s="2"/>
      <c r="F196" s="2"/>
      <c r="G196" s="2"/>
      <c r="H196" s="2"/>
      <c r="I196" s="2"/>
    </row>
    <row r="197" spans="1:9" ht="17" x14ac:dyDescent="0.2">
      <c r="A197" s="322"/>
      <c r="B197" s="315"/>
      <c r="C197" s="1" t="s">
        <v>19</v>
      </c>
      <c r="D197" s="2">
        <v>35.5</v>
      </c>
      <c r="E197" s="2">
        <v>38.6</v>
      </c>
      <c r="F197" s="2">
        <v>42.8</v>
      </c>
      <c r="G197" s="2">
        <v>50.2</v>
      </c>
      <c r="H197" s="2">
        <v>50.7</v>
      </c>
      <c r="I197" s="2"/>
    </row>
    <row r="198" spans="1:9" ht="17" x14ac:dyDescent="0.2">
      <c r="A198" s="322"/>
      <c r="B198" s="315"/>
      <c r="C198" s="1" t="s">
        <v>22</v>
      </c>
      <c r="D198" s="2">
        <v>17.399999999999999</v>
      </c>
      <c r="E198" s="2">
        <v>17.3</v>
      </c>
      <c r="F198" s="2">
        <v>17.2</v>
      </c>
      <c r="G198" s="2">
        <v>17.399999999999999</v>
      </c>
      <c r="H198" s="2">
        <v>17.899999999999999</v>
      </c>
      <c r="I198" s="2"/>
    </row>
    <row r="199" spans="1:9" ht="17" x14ac:dyDescent="0.2">
      <c r="A199" s="322"/>
      <c r="B199" s="315"/>
      <c r="C199" s="1" t="s">
        <v>24</v>
      </c>
      <c r="D199" s="2">
        <v>17.399999999999999</v>
      </c>
      <c r="E199" s="2">
        <v>17.3</v>
      </c>
      <c r="F199" s="2">
        <v>17.2</v>
      </c>
      <c r="G199" s="2">
        <v>17.399999999999999</v>
      </c>
      <c r="H199" s="2">
        <v>17.899999999999999</v>
      </c>
      <c r="I199" s="2"/>
    </row>
    <row r="200" spans="1:9" ht="17" x14ac:dyDescent="0.2">
      <c r="A200" s="322"/>
      <c r="B200" s="315"/>
      <c r="C200" s="1" t="s">
        <v>75</v>
      </c>
      <c r="D200" s="2">
        <v>37</v>
      </c>
      <c r="E200" s="2">
        <v>38</v>
      </c>
      <c r="F200" s="2">
        <v>38</v>
      </c>
      <c r="G200" s="2">
        <v>38</v>
      </c>
      <c r="H200" s="2">
        <v>38</v>
      </c>
      <c r="I200" s="2"/>
    </row>
    <row r="201" spans="1:9" ht="17" x14ac:dyDescent="0.2">
      <c r="A201" s="322"/>
      <c r="B201" s="315"/>
      <c r="C201" s="1" t="s">
        <v>28</v>
      </c>
      <c r="D201" s="2">
        <v>2.1</v>
      </c>
      <c r="E201" s="2">
        <v>2.2999999999999998</v>
      </c>
      <c r="F201" s="2">
        <v>2.2999999999999998</v>
      </c>
      <c r="G201" s="2">
        <v>2.2999999999999998</v>
      </c>
      <c r="H201" s="2">
        <v>2.2999999999999998</v>
      </c>
      <c r="I201" s="2"/>
    </row>
    <row r="202" spans="1:9" ht="17" x14ac:dyDescent="0.2">
      <c r="A202" s="322"/>
      <c r="B202" s="303" t="s">
        <v>29</v>
      </c>
      <c r="C202" s="281" t="s">
        <v>30</v>
      </c>
      <c r="D202" s="4">
        <v>0.123</v>
      </c>
      <c r="E202" s="4">
        <v>0.107</v>
      </c>
      <c r="F202" s="4">
        <v>0.109</v>
      </c>
      <c r="G202" s="4">
        <v>9.6000000000000002E-2</v>
      </c>
      <c r="H202" s="4">
        <v>9.7000000000000003E-2</v>
      </c>
      <c r="I202" s="2" t="s">
        <v>31</v>
      </c>
    </row>
    <row r="203" spans="1:9" ht="17" x14ac:dyDescent="0.2">
      <c r="A203" s="322"/>
      <c r="B203" s="303"/>
      <c r="C203" s="281" t="s">
        <v>76</v>
      </c>
      <c r="D203" s="4">
        <v>1.4E-2</v>
      </c>
      <c r="E203" s="4">
        <v>1.0999999999999999E-2</v>
      </c>
      <c r="F203" s="4">
        <v>7.0000000000000001E-3</v>
      </c>
      <c r="G203" s="4">
        <v>1.4999999999999999E-2</v>
      </c>
      <c r="H203" s="4">
        <v>0.01</v>
      </c>
      <c r="I203" s="2"/>
    </row>
    <row r="204" spans="1:9" ht="17" x14ac:dyDescent="0.2">
      <c r="A204" s="322"/>
      <c r="B204" s="303"/>
      <c r="C204" s="281" t="s">
        <v>33</v>
      </c>
      <c r="D204" s="4"/>
      <c r="E204" s="4"/>
      <c r="F204" s="4"/>
      <c r="G204" s="4"/>
      <c r="H204" s="4"/>
      <c r="I204" s="2"/>
    </row>
    <row r="205" spans="1:9" ht="17" x14ac:dyDescent="0.2">
      <c r="A205" s="322"/>
      <c r="B205" s="315" t="s">
        <v>34</v>
      </c>
      <c r="C205" s="1" t="s">
        <v>35</v>
      </c>
      <c r="D205" s="2"/>
      <c r="E205" s="2"/>
      <c r="F205" s="2"/>
      <c r="G205" s="2"/>
      <c r="H205" s="2"/>
      <c r="I205" s="2"/>
    </row>
    <row r="206" spans="1:9" ht="17" x14ac:dyDescent="0.2">
      <c r="A206" s="322"/>
      <c r="B206" s="315"/>
      <c r="C206" s="1" t="s">
        <v>36</v>
      </c>
      <c r="D206" s="4">
        <v>0.01</v>
      </c>
      <c r="E206" s="4">
        <v>8.0000000000000002E-3</v>
      </c>
      <c r="F206" s="4">
        <v>8.0000000000000002E-3</v>
      </c>
      <c r="G206" s="4">
        <v>8.0000000000000002E-3</v>
      </c>
      <c r="H206" s="4">
        <v>8.0000000000000002E-3</v>
      </c>
      <c r="I206" s="4">
        <v>7.0000000000000001E-3</v>
      </c>
    </row>
    <row r="207" spans="1:9" ht="16" x14ac:dyDescent="0.2">
      <c r="A207" s="322"/>
      <c r="B207" s="315"/>
      <c r="C207" t="s">
        <v>37</v>
      </c>
      <c r="D207" s="4">
        <v>0.01</v>
      </c>
      <c r="E207" s="4">
        <v>8.0000000000000002E-3</v>
      </c>
      <c r="F207" s="4">
        <v>8.0000000000000002E-3</v>
      </c>
      <c r="G207" s="4">
        <v>8.0000000000000002E-3</v>
      </c>
      <c r="H207" s="4">
        <v>8.0000000000000002E-3</v>
      </c>
      <c r="I207" s="4"/>
    </row>
    <row r="208" spans="1:9" ht="17" x14ac:dyDescent="0.2">
      <c r="A208" s="322"/>
      <c r="B208" s="315"/>
      <c r="C208" s="281" t="s">
        <v>38</v>
      </c>
      <c r="D208" s="4"/>
      <c r="E208" s="4"/>
      <c r="F208" s="4"/>
      <c r="G208" s="4"/>
      <c r="H208" s="4"/>
      <c r="I208" s="4"/>
    </row>
    <row r="209" spans="1:9" ht="16" x14ac:dyDescent="0.2">
      <c r="A209" s="322"/>
      <c r="B209" s="315"/>
      <c r="C209" t="s">
        <v>39</v>
      </c>
      <c r="D209" s="4"/>
      <c r="E209" s="4"/>
      <c r="F209" s="4"/>
      <c r="G209" s="4"/>
      <c r="H209" s="4"/>
      <c r="I209" s="4"/>
    </row>
    <row r="210" spans="1:9" ht="16" x14ac:dyDescent="0.2">
      <c r="A210" s="322"/>
      <c r="B210" s="315"/>
      <c r="C210" t="s">
        <v>40</v>
      </c>
      <c r="D210" s="4"/>
      <c r="E210" s="4"/>
      <c r="F210" s="4"/>
      <c r="G210" s="4"/>
      <c r="H210" s="4"/>
      <c r="I210" s="4"/>
    </row>
    <row r="211" spans="1:9" ht="17" x14ac:dyDescent="0.2">
      <c r="A211" s="322"/>
      <c r="B211" s="315"/>
      <c r="C211" s="1" t="s">
        <v>41</v>
      </c>
      <c r="D211" s="4"/>
      <c r="E211" s="4"/>
      <c r="F211" s="4"/>
      <c r="G211" s="4"/>
      <c r="H211" s="4"/>
      <c r="I211" s="4"/>
    </row>
    <row r="212" spans="1:9" ht="17" x14ac:dyDescent="0.2">
      <c r="A212" s="322"/>
      <c r="B212" s="315"/>
      <c r="C212" s="281" t="s">
        <v>42</v>
      </c>
      <c r="D212" s="4"/>
      <c r="E212" s="4"/>
      <c r="F212" s="4"/>
      <c r="G212" s="4"/>
      <c r="H212" s="4"/>
      <c r="I212" s="4"/>
    </row>
    <row r="213" spans="1:9" ht="17" x14ac:dyDescent="0.2">
      <c r="A213" s="322"/>
      <c r="B213" s="315"/>
      <c r="C213" s="1" t="s">
        <v>43</v>
      </c>
      <c r="D213" s="4">
        <v>4.2000000000000003E-2</v>
      </c>
      <c r="E213" s="4">
        <v>2.9000000000000001E-2</v>
      </c>
      <c r="F213" s="4">
        <v>3.5999999999999997E-2</v>
      </c>
      <c r="G213" s="4">
        <v>3.2000000000000001E-2</v>
      </c>
      <c r="H213" s="4">
        <v>3.6999999999999998E-2</v>
      </c>
      <c r="I213" s="2"/>
    </row>
    <row r="214" spans="1:9" ht="17" x14ac:dyDescent="0.2">
      <c r="A214" s="322"/>
      <c r="B214" s="315"/>
      <c r="C214" s="281" t="s">
        <v>44</v>
      </c>
      <c r="D214" s="4">
        <v>1.0999999999999999E-2</v>
      </c>
      <c r="E214" s="4">
        <v>1.4E-2</v>
      </c>
      <c r="F214" s="4">
        <v>1.0999999999999999E-2</v>
      </c>
      <c r="G214" s="4">
        <v>1.2999999999999999E-2</v>
      </c>
      <c r="H214" s="4">
        <v>1.4E-2</v>
      </c>
      <c r="I214" s="2"/>
    </row>
    <row r="215" spans="1:9" ht="17" x14ac:dyDescent="0.2">
      <c r="A215" s="322"/>
      <c r="B215" s="315"/>
      <c r="C215" s="1" t="s">
        <v>45</v>
      </c>
      <c r="D215" s="4">
        <v>1.0999999999999999E-2</v>
      </c>
      <c r="E215" s="4">
        <v>1.4E-2</v>
      </c>
      <c r="F215" s="4">
        <v>1.0999999999999999E-2</v>
      </c>
      <c r="G215" s="4">
        <v>1.2999999999999999E-2</v>
      </c>
      <c r="H215" s="4">
        <v>1.4E-2</v>
      </c>
      <c r="I215" s="2"/>
    </row>
    <row r="216" spans="1:9" ht="17" x14ac:dyDescent="0.2">
      <c r="A216" s="322"/>
      <c r="B216" s="315"/>
      <c r="C216" s="281" t="s">
        <v>46</v>
      </c>
      <c r="D216" s="4">
        <v>2E-3</v>
      </c>
      <c r="E216" s="4">
        <v>2E-3</v>
      </c>
      <c r="F216" s="4">
        <v>2E-3</v>
      </c>
      <c r="G216" s="4">
        <v>3.0000000000000001E-3</v>
      </c>
      <c r="H216" s="4">
        <v>4.0000000000000001E-3</v>
      </c>
      <c r="I216" s="2"/>
    </row>
    <row r="217" spans="1:9" ht="17" x14ac:dyDescent="0.2">
      <c r="A217" s="322"/>
      <c r="B217" s="315"/>
      <c r="C217" s="1" t="s">
        <v>47</v>
      </c>
      <c r="D217" s="2">
        <v>0.3</v>
      </c>
      <c r="E217" s="2">
        <v>0.2</v>
      </c>
      <c r="F217" s="2">
        <v>0.3</v>
      </c>
      <c r="G217" s="2">
        <v>0.6</v>
      </c>
      <c r="H217" s="2">
        <v>0.9</v>
      </c>
      <c r="I217" s="2"/>
    </row>
    <row r="218" spans="1:9" ht="17" x14ac:dyDescent="0.2">
      <c r="A218" s="322"/>
      <c r="B218" s="315"/>
      <c r="C218" s="1" t="s">
        <v>48</v>
      </c>
      <c r="D218" s="2"/>
      <c r="E218" s="2"/>
      <c r="F218" s="2"/>
      <c r="G218" s="2"/>
      <c r="H218" s="2"/>
      <c r="I218" s="2"/>
    </row>
    <row r="219" spans="1:9" ht="17" x14ac:dyDescent="0.2">
      <c r="A219" s="322"/>
      <c r="B219" s="315"/>
      <c r="C219" s="1" t="s">
        <v>49</v>
      </c>
      <c r="D219" s="2"/>
      <c r="E219" s="2"/>
      <c r="F219" s="2"/>
      <c r="G219" s="2"/>
      <c r="H219" s="2"/>
      <c r="I219" s="2"/>
    </row>
    <row r="220" spans="1:9" ht="17" x14ac:dyDescent="0.2">
      <c r="A220" s="322"/>
      <c r="B220" s="315"/>
      <c r="C220" s="1" t="s">
        <v>50</v>
      </c>
      <c r="D220" s="2"/>
      <c r="E220" s="2"/>
      <c r="F220" s="2"/>
      <c r="G220" s="2"/>
      <c r="H220" s="2"/>
      <c r="I220" s="2"/>
    </row>
    <row r="221" spans="1:9" ht="17" x14ac:dyDescent="0.2">
      <c r="A221" s="322"/>
      <c r="B221" s="315"/>
      <c r="C221" s="1" t="s">
        <v>51</v>
      </c>
      <c r="D221" s="2"/>
      <c r="E221" s="2"/>
      <c r="F221" s="2"/>
      <c r="G221" s="2"/>
      <c r="H221" s="2"/>
      <c r="I221" s="2"/>
    </row>
    <row r="222" spans="1:9" ht="17" x14ac:dyDescent="0.2">
      <c r="A222" s="322"/>
      <c r="B222" s="316"/>
      <c r="C222" s="1" t="s">
        <v>77</v>
      </c>
      <c r="D222" s="2">
        <v>0.3</v>
      </c>
      <c r="E222" s="2">
        <v>0.2</v>
      </c>
      <c r="F222" s="2">
        <v>0.3</v>
      </c>
      <c r="G222" s="2">
        <v>0.6</v>
      </c>
      <c r="H222" s="2">
        <v>0.9</v>
      </c>
      <c r="I222" s="2"/>
    </row>
    <row r="223" spans="1:9" ht="17" x14ac:dyDescent="0.2">
      <c r="A223" s="322"/>
      <c r="B223" s="317" t="s">
        <v>53</v>
      </c>
      <c r="C223" s="1" t="s">
        <v>54</v>
      </c>
      <c r="D223" s="4">
        <v>4.2999999999999997E-2</v>
      </c>
      <c r="E223" s="4">
        <v>0.02</v>
      </c>
      <c r="F223" s="4">
        <v>3.1E-2</v>
      </c>
      <c r="G223" s="5">
        <v>2.4E-2</v>
      </c>
      <c r="H223" s="5">
        <v>2.7E-2</v>
      </c>
      <c r="I223" s="2"/>
    </row>
    <row r="224" spans="1:9" ht="17" x14ac:dyDescent="0.2">
      <c r="A224" s="322"/>
      <c r="B224" s="315"/>
      <c r="C224" s="1" t="s">
        <v>55</v>
      </c>
      <c r="D224" s="4">
        <v>0.126</v>
      </c>
      <c r="E224" s="4">
        <v>0.35</v>
      </c>
      <c r="F224" s="4">
        <v>0.48599999999999999</v>
      </c>
      <c r="G224" s="4">
        <v>0.311</v>
      </c>
      <c r="H224" s="4">
        <v>0.41</v>
      </c>
      <c r="I224" s="2"/>
    </row>
    <row r="225" spans="1:9" ht="17" x14ac:dyDescent="0.2">
      <c r="A225" s="322"/>
      <c r="B225" s="315"/>
      <c r="C225" s="1" t="s">
        <v>56</v>
      </c>
      <c r="D225" s="4">
        <v>0.126</v>
      </c>
      <c r="E225" s="4">
        <v>0.35</v>
      </c>
      <c r="F225" s="4">
        <v>0.48599999999999999</v>
      </c>
      <c r="G225" s="4">
        <v>0.311</v>
      </c>
      <c r="H225" s="4">
        <v>0.41</v>
      </c>
      <c r="I225" s="2"/>
    </row>
    <row r="226" spans="1:9" ht="17" x14ac:dyDescent="0.2">
      <c r="A226" s="322"/>
      <c r="B226" s="315"/>
      <c r="C226" s="1" t="s">
        <v>57</v>
      </c>
      <c r="D226" s="4">
        <v>0.126</v>
      </c>
      <c r="E226" s="4">
        <v>0.35</v>
      </c>
      <c r="F226" s="4">
        <v>0.48599999999999999</v>
      </c>
      <c r="G226" s="4">
        <v>0.311</v>
      </c>
      <c r="H226" s="4">
        <v>0.41</v>
      </c>
      <c r="I226" s="2"/>
    </row>
    <row r="227" spans="1:9" ht="17" x14ac:dyDescent="0.2">
      <c r="A227" s="322"/>
      <c r="B227" s="315"/>
      <c r="C227" s="1" t="s">
        <v>58</v>
      </c>
      <c r="D227" s="4"/>
      <c r="E227" s="4"/>
      <c r="F227" s="4"/>
      <c r="G227" s="4"/>
      <c r="H227" s="4"/>
      <c r="I227" s="2"/>
    </row>
    <row r="228" spans="1:9" ht="17" x14ac:dyDescent="0.2">
      <c r="A228" s="322"/>
      <c r="B228" s="316"/>
      <c r="C228" s="1" t="s">
        <v>59</v>
      </c>
      <c r="D228" s="4">
        <v>1.403</v>
      </c>
      <c r="E228" s="4">
        <v>0.95299999999999996</v>
      </c>
      <c r="F228" s="4">
        <v>0.375</v>
      </c>
      <c r="G228" s="4">
        <v>0.74099999999999999</v>
      </c>
      <c r="H228" s="5">
        <v>0.64800000000000002</v>
      </c>
      <c r="I228" s="2"/>
    </row>
    <row r="229" spans="1:9" ht="17" x14ac:dyDescent="0.2">
      <c r="A229" s="322"/>
      <c r="B229" s="331" t="s">
        <v>60</v>
      </c>
      <c r="C229" s="1" t="s">
        <v>61</v>
      </c>
      <c r="D229" s="4">
        <v>0</v>
      </c>
      <c r="E229" s="4">
        <v>0</v>
      </c>
      <c r="F229" s="4">
        <v>0</v>
      </c>
      <c r="G229" s="6">
        <v>0</v>
      </c>
      <c r="H229" s="6">
        <v>0</v>
      </c>
      <c r="I229" s="2"/>
    </row>
    <row r="230" spans="1:9" ht="17" x14ac:dyDescent="0.2">
      <c r="A230" s="322"/>
      <c r="B230" s="332"/>
      <c r="C230" s="1" t="s">
        <v>62</v>
      </c>
      <c r="D230" s="4"/>
      <c r="E230" s="4"/>
      <c r="F230" s="4"/>
      <c r="G230" s="6"/>
      <c r="H230" s="6"/>
      <c r="I230" s="2"/>
    </row>
    <row r="231" spans="1:9" ht="15.75" customHeight="1" x14ac:dyDescent="0.2">
      <c r="A231" s="322"/>
      <c r="B231" s="332"/>
      <c r="C231" s="1" t="s">
        <v>65</v>
      </c>
      <c r="D231" s="4"/>
      <c r="E231" s="4"/>
      <c r="F231" s="4"/>
      <c r="G231" s="6"/>
      <c r="H231" s="6"/>
      <c r="I231" s="2"/>
    </row>
    <row r="232" spans="1:9" ht="17" x14ac:dyDescent="0.2">
      <c r="A232" s="322"/>
      <c r="B232" s="332"/>
      <c r="C232" s="1" t="s">
        <v>63</v>
      </c>
      <c r="D232" s="4">
        <v>7.6999999999999999E-2</v>
      </c>
      <c r="E232" s="4">
        <v>8.1000000000000003E-2</v>
      </c>
      <c r="F232" s="4">
        <v>9.0999999999999998E-2</v>
      </c>
      <c r="G232" s="6">
        <v>9.8000000000000004E-2</v>
      </c>
      <c r="H232" s="6">
        <v>0.1</v>
      </c>
      <c r="I232" s="2" t="s">
        <v>64</v>
      </c>
    </row>
    <row r="233" spans="1:9" ht="17" x14ac:dyDescent="0.2">
      <c r="A233" s="322"/>
      <c r="B233" s="333"/>
      <c r="C233" s="1" t="s">
        <v>80</v>
      </c>
      <c r="D233" s="2" t="s">
        <v>67</v>
      </c>
      <c r="E233" s="2" t="s">
        <v>67</v>
      </c>
      <c r="F233" s="2" t="s">
        <v>67</v>
      </c>
      <c r="G233" s="2" t="s">
        <v>67</v>
      </c>
      <c r="H233" s="2"/>
      <c r="I233" s="2"/>
    </row>
    <row r="234" spans="1:9" ht="17" x14ac:dyDescent="0.2">
      <c r="A234" s="322"/>
      <c r="B234" s="334" t="s">
        <v>68</v>
      </c>
      <c r="C234" s="1" t="s">
        <v>69</v>
      </c>
      <c r="D234" s="4"/>
      <c r="E234" s="4"/>
      <c r="F234" s="4"/>
      <c r="G234" s="4"/>
      <c r="H234" s="4"/>
      <c r="I234" s="2"/>
    </row>
    <row r="235" spans="1:9" ht="17" x14ac:dyDescent="0.2">
      <c r="A235" s="322"/>
      <c r="B235" s="335"/>
      <c r="C235" s="1" t="s">
        <v>70</v>
      </c>
      <c r="D235" s="4"/>
      <c r="E235" s="4"/>
      <c r="F235" s="4"/>
      <c r="G235" s="4"/>
      <c r="H235" s="4"/>
      <c r="I235" s="2"/>
    </row>
    <row r="236" spans="1:9" ht="17" x14ac:dyDescent="0.2">
      <c r="A236" s="322"/>
      <c r="B236" s="335"/>
      <c r="C236" s="1" t="s">
        <v>71</v>
      </c>
      <c r="D236" s="4"/>
      <c r="E236" s="4"/>
      <c r="F236" s="4"/>
      <c r="G236" s="4"/>
      <c r="H236" s="4"/>
      <c r="I236" s="2"/>
    </row>
    <row r="237" spans="1:9" ht="17" x14ac:dyDescent="0.2">
      <c r="A237" s="322"/>
      <c r="B237" s="335"/>
      <c r="C237" s="1" t="s">
        <v>70</v>
      </c>
      <c r="D237" s="4"/>
      <c r="E237" s="4"/>
      <c r="F237" s="4"/>
      <c r="G237" s="4"/>
      <c r="H237" s="4"/>
      <c r="I237" s="2"/>
    </row>
    <row r="238" spans="1:9" ht="17" x14ac:dyDescent="0.2">
      <c r="A238" s="322"/>
      <c r="B238" s="335"/>
      <c r="C238" s="1" t="s">
        <v>72</v>
      </c>
      <c r="D238" s="4"/>
      <c r="E238" s="4"/>
      <c r="F238" s="4"/>
      <c r="G238" s="4"/>
      <c r="H238" s="4"/>
      <c r="I238" s="2"/>
    </row>
    <row r="239" spans="1:9" ht="17" x14ac:dyDescent="0.2">
      <c r="A239" s="322"/>
      <c r="B239" s="335"/>
      <c r="C239" s="1" t="s">
        <v>70</v>
      </c>
      <c r="D239" s="4"/>
      <c r="E239" s="4"/>
      <c r="F239" s="4"/>
      <c r="G239" s="4"/>
      <c r="H239" s="4"/>
      <c r="I239" s="2"/>
    </row>
  </sheetData>
  <mergeCells count="35">
    <mergeCell ref="B186:B191"/>
    <mergeCell ref="A145:A191"/>
    <mergeCell ref="B157:B174"/>
    <mergeCell ref="B181:B185"/>
    <mergeCell ref="B146:B153"/>
    <mergeCell ref="B175:B180"/>
    <mergeCell ref="B154:B156"/>
    <mergeCell ref="B202:B204"/>
    <mergeCell ref="A193:A239"/>
    <mergeCell ref="B194:B201"/>
    <mergeCell ref="B205:B222"/>
    <mergeCell ref="B223:B228"/>
    <mergeCell ref="B229:B233"/>
    <mergeCell ref="B234:B239"/>
    <mergeCell ref="B106:B108"/>
    <mergeCell ref="B13:B30"/>
    <mergeCell ref="B61:B78"/>
    <mergeCell ref="B37:B41"/>
    <mergeCell ref="B42:B47"/>
    <mergeCell ref="A1:A47"/>
    <mergeCell ref="A97:A143"/>
    <mergeCell ref="B98:B105"/>
    <mergeCell ref="B90:B95"/>
    <mergeCell ref="B138:B143"/>
    <mergeCell ref="B133:B137"/>
    <mergeCell ref="B109:B126"/>
    <mergeCell ref="A49:A95"/>
    <mergeCell ref="B50:B57"/>
    <mergeCell ref="B58:B60"/>
    <mergeCell ref="B79:B84"/>
    <mergeCell ref="B2:B9"/>
    <mergeCell ref="B31:B36"/>
    <mergeCell ref="B10:B12"/>
    <mergeCell ref="B85:B89"/>
    <mergeCell ref="B127:B1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F3D1-8DD2-474D-89AE-6DF673901989}">
  <dimension ref="B1:AS119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2" max="2" width="9.6640625" customWidth="1"/>
    <col min="3" max="4" width="4.6640625" bestFit="1" customWidth="1"/>
    <col min="5" max="5" width="5.33203125" bestFit="1" customWidth="1"/>
    <col min="6" max="11" width="4.6640625" bestFit="1" customWidth="1"/>
    <col min="12" max="12" width="5.33203125" bestFit="1" customWidth="1"/>
    <col min="13" max="45" width="4.6640625" bestFit="1" customWidth="1"/>
  </cols>
  <sheetData>
    <row r="1" spans="2:45" x14ac:dyDescent="0.2">
      <c r="B1" t="s">
        <v>355</v>
      </c>
    </row>
    <row r="2" spans="2:45" ht="101" x14ac:dyDescent="0.2">
      <c r="B2" s="299" t="s">
        <v>293</v>
      </c>
      <c r="C2" s="293" t="s">
        <v>294</v>
      </c>
      <c r="D2" s="293" t="s">
        <v>295</v>
      </c>
      <c r="E2" s="293" t="s">
        <v>296</v>
      </c>
      <c r="F2" s="293" t="s">
        <v>297</v>
      </c>
      <c r="G2" s="294" t="s">
        <v>298</v>
      </c>
      <c r="H2" s="294" t="s">
        <v>299</v>
      </c>
      <c r="I2" s="294" t="s">
        <v>300</v>
      </c>
      <c r="J2" s="294" t="s">
        <v>301</v>
      </c>
      <c r="K2" s="294" t="s">
        <v>302</v>
      </c>
      <c r="L2" s="294" t="s">
        <v>303</v>
      </c>
      <c r="M2" s="295" t="s">
        <v>304</v>
      </c>
      <c r="N2" s="295" t="s">
        <v>305</v>
      </c>
      <c r="O2" s="295" t="s">
        <v>306</v>
      </c>
      <c r="P2" s="295" t="s">
        <v>307</v>
      </c>
      <c r="Q2" s="295" t="s">
        <v>308</v>
      </c>
      <c r="R2" s="295" t="s">
        <v>309</v>
      </c>
      <c r="S2" s="295" t="s">
        <v>310</v>
      </c>
      <c r="T2" s="295" t="s">
        <v>311</v>
      </c>
      <c r="U2" s="295" t="s">
        <v>312</v>
      </c>
      <c r="V2" s="296" t="s">
        <v>313</v>
      </c>
      <c r="W2" s="296" t="s">
        <v>314</v>
      </c>
      <c r="X2" s="296" t="s">
        <v>315</v>
      </c>
      <c r="Y2" s="296" t="s">
        <v>316</v>
      </c>
      <c r="Z2" s="296" t="s">
        <v>317</v>
      </c>
      <c r="AA2" s="296" t="s">
        <v>318</v>
      </c>
      <c r="AB2" s="296" t="s">
        <v>319</v>
      </c>
      <c r="AC2" s="296" t="s">
        <v>320</v>
      </c>
      <c r="AD2" s="296" t="s">
        <v>321</v>
      </c>
      <c r="AE2" s="297" t="s">
        <v>322</v>
      </c>
      <c r="AF2" s="297" t="s">
        <v>323</v>
      </c>
      <c r="AG2" s="297" t="s">
        <v>324</v>
      </c>
      <c r="AH2" s="297" t="s">
        <v>325</v>
      </c>
      <c r="AI2" s="297" t="s">
        <v>326</v>
      </c>
      <c r="AJ2" s="297" t="s">
        <v>327</v>
      </c>
      <c r="AK2" s="297" t="s">
        <v>328</v>
      </c>
      <c r="AL2" s="297" t="s">
        <v>329</v>
      </c>
      <c r="AM2" s="297" t="s">
        <v>330</v>
      </c>
      <c r="AN2" s="298" t="s">
        <v>331</v>
      </c>
      <c r="AO2" s="298" t="s">
        <v>332</v>
      </c>
      <c r="AP2" s="298" t="s">
        <v>333</v>
      </c>
      <c r="AQ2" s="298" t="s">
        <v>334</v>
      </c>
      <c r="AR2" s="298" t="s">
        <v>335</v>
      </c>
      <c r="AS2" s="298" t="s">
        <v>336</v>
      </c>
    </row>
    <row r="3" spans="2:45" x14ac:dyDescent="0.2">
      <c r="B3" s="292" t="s">
        <v>337</v>
      </c>
      <c r="C3" s="292"/>
      <c r="D3" s="292">
        <v>20</v>
      </c>
      <c r="E3" s="301">
        <f t="shared" ref="E3:E7" si="0">D3/$D$7</f>
        <v>0.21052631578947367</v>
      </c>
      <c r="F3" s="292"/>
      <c r="G3" s="292"/>
      <c r="H3" s="292"/>
      <c r="I3" s="292"/>
      <c r="J3" s="292"/>
      <c r="K3" s="292">
        <v>10</v>
      </c>
      <c r="L3" s="301">
        <f t="shared" ref="L3:L7" si="1">K3/$K$7</f>
        <v>0.15873015873015872</v>
      </c>
      <c r="M3" s="292"/>
      <c r="N3" s="292"/>
      <c r="O3" s="292"/>
      <c r="P3" s="292"/>
      <c r="Q3" s="292"/>
      <c r="R3" s="292"/>
      <c r="S3" s="302">
        <v>0.02</v>
      </c>
      <c r="T3" s="292"/>
      <c r="U3" s="292"/>
      <c r="V3" s="292"/>
      <c r="W3" s="292"/>
      <c r="X3" s="292"/>
      <c r="Y3" s="292"/>
      <c r="Z3" s="292"/>
      <c r="AA3" s="292"/>
      <c r="AB3" s="302">
        <v>0.01</v>
      </c>
      <c r="AC3" s="292"/>
      <c r="AD3" s="292"/>
      <c r="AE3" s="292"/>
      <c r="AF3" s="292"/>
      <c r="AG3" s="292"/>
      <c r="AH3" s="292"/>
      <c r="AI3" s="292"/>
      <c r="AJ3" s="292"/>
      <c r="AK3" s="302">
        <v>5.0000000000000001E-3</v>
      </c>
      <c r="AL3" s="292"/>
      <c r="AM3" s="292"/>
      <c r="AN3" s="302">
        <v>0.12</v>
      </c>
      <c r="AO3" s="292"/>
      <c r="AP3" s="292"/>
      <c r="AQ3" s="302">
        <v>0.08</v>
      </c>
      <c r="AR3" s="292"/>
      <c r="AS3" s="292"/>
    </row>
    <row r="4" spans="2:45" x14ac:dyDescent="0.2">
      <c r="B4" s="292" t="s">
        <v>338</v>
      </c>
      <c r="C4" s="292"/>
      <c r="D4" s="292">
        <v>25</v>
      </c>
      <c r="E4" s="301">
        <f t="shared" si="0"/>
        <v>0.26315789473684209</v>
      </c>
      <c r="F4" s="292"/>
      <c r="G4" s="292"/>
      <c r="H4" s="292"/>
      <c r="I4" s="292"/>
      <c r="J4" s="292"/>
      <c r="K4" s="292">
        <v>15</v>
      </c>
      <c r="L4" s="301">
        <f t="shared" si="1"/>
        <v>0.23809523809523808</v>
      </c>
      <c r="M4" s="292"/>
      <c r="N4" s="292"/>
      <c r="O4" s="292"/>
      <c r="P4" s="292"/>
      <c r="Q4" s="292"/>
      <c r="R4" s="292"/>
      <c r="S4" s="302">
        <v>0.03</v>
      </c>
      <c r="T4" s="292"/>
      <c r="U4" s="292"/>
      <c r="V4" s="292"/>
      <c r="W4" s="292"/>
      <c r="X4" s="292"/>
      <c r="Y4" s="292"/>
      <c r="Z4" s="292"/>
      <c r="AA4" s="292"/>
      <c r="AB4" s="302">
        <v>0.02</v>
      </c>
      <c r="AC4" s="292"/>
      <c r="AD4" s="292"/>
      <c r="AE4" s="292"/>
      <c r="AF4" s="292"/>
      <c r="AG4" s="292"/>
      <c r="AH4" s="292"/>
      <c r="AI4" s="292"/>
      <c r="AJ4" s="292"/>
      <c r="AK4" s="302">
        <v>0.01</v>
      </c>
      <c r="AL4" s="292"/>
      <c r="AM4" s="292"/>
      <c r="AN4" s="302">
        <v>0.05</v>
      </c>
      <c r="AO4" s="292"/>
      <c r="AP4" s="292"/>
      <c r="AQ4" s="302">
        <v>0.04</v>
      </c>
      <c r="AR4" s="292"/>
      <c r="AS4" s="292"/>
    </row>
    <row r="5" spans="2:45" x14ac:dyDescent="0.2">
      <c r="B5" s="292" t="s">
        <v>339</v>
      </c>
      <c r="C5" s="292"/>
      <c r="D5" s="292">
        <v>40</v>
      </c>
      <c r="E5" s="301">
        <f t="shared" si="0"/>
        <v>0.42105263157894735</v>
      </c>
      <c r="F5" s="292"/>
      <c r="G5" s="292"/>
      <c r="H5" s="292"/>
      <c r="I5" s="292"/>
      <c r="J5" s="292"/>
      <c r="K5" s="292">
        <v>30</v>
      </c>
      <c r="L5" s="301">
        <f t="shared" si="1"/>
        <v>0.47619047619047616</v>
      </c>
      <c r="M5" s="292"/>
      <c r="N5" s="292"/>
      <c r="O5" s="292"/>
      <c r="P5" s="292"/>
      <c r="Q5" s="292"/>
      <c r="R5" s="292"/>
      <c r="S5" s="302">
        <v>0.01</v>
      </c>
      <c r="T5" s="292"/>
      <c r="U5" s="292"/>
      <c r="V5" s="292"/>
      <c r="W5" s="292"/>
      <c r="X5" s="292"/>
      <c r="Y5" s="292"/>
      <c r="Z5" s="292"/>
      <c r="AA5" s="292"/>
      <c r="AB5" s="302">
        <v>0</v>
      </c>
      <c r="AC5" s="292"/>
      <c r="AD5" s="292"/>
      <c r="AE5" s="292"/>
      <c r="AF5" s="292"/>
      <c r="AG5" s="292"/>
      <c r="AH5" s="292"/>
      <c r="AI5" s="292"/>
      <c r="AJ5" s="292"/>
      <c r="AK5" s="302">
        <v>0</v>
      </c>
      <c r="AL5" s="292"/>
      <c r="AM5" s="292"/>
      <c r="AN5" s="302">
        <v>0.15</v>
      </c>
      <c r="AO5" s="292"/>
      <c r="AP5" s="292"/>
      <c r="AQ5" s="302">
        <v>0.11</v>
      </c>
      <c r="AR5" s="292"/>
      <c r="AS5" s="292"/>
    </row>
    <row r="6" spans="2:45" x14ac:dyDescent="0.2">
      <c r="B6" s="292" t="s">
        <v>340</v>
      </c>
      <c r="C6" s="292"/>
      <c r="D6" s="292">
        <v>10</v>
      </c>
      <c r="E6" s="301">
        <f t="shared" si="0"/>
        <v>0.10526315789473684</v>
      </c>
      <c r="F6" s="292"/>
      <c r="G6" s="292"/>
      <c r="H6" s="292"/>
      <c r="I6" s="292"/>
      <c r="J6" s="292"/>
      <c r="K6" s="292">
        <v>8</v>
      </c>
      <c r="L6" s="301">
        <f t="shared" si="1"/>
        <v>0.12698412698412698</v>
      </c>
      <c r="M6" s="292"/>
      <c r="N6" s="292"/>
      <c r="O6" s="292"/>
      <c r="P6" s="292"/>
      <c r="Q6" s="292"/>
      <c r="R6" s="292"/>
      <c r="S6" s="302">
        <v>0.04</v>
      </c>
      <c r="T6" s="292"/>
      <c r="U6" s="292"/>
      <c r="V6" s="292"/>
      <c r="W6" s="292"/>
      <c r="X6" s="292"/>
      <c r="Y6" s="292"/>
      <c r="Z6" s="292"/>
      <c r="AA6" s="292"/>
      <c r="AB6" s="302">
        <v>0.04</v>
      </c>
      <c r="AC6" s="292"/>
      <c r="AD6" s="292"/>
      <c r="AE6" s="292"/>
      <c r="AF6" s="292"/>
      <c r="AG6" s="292"/>
      <c r="AH6" s="292"/>
      <c r="AI6" s="292"/>
      <c r="AJ6" s="292"/>
      <c r="AK6" s="302">
        <v>0.02</v>
      </c>
      <c r="AL6" s="292"/>
      <c r="AM6" s="292"/>
      <c r="AN6" s="302">
        <v>0.04</v>
      </c>
      <c r="AO6" s="292"/>
      <c r="AP6" s="292"/>
      <c r="AQ6" s="302">
        <v>0.06</v>
      </c>
      <c r="AR6" s="292"/>
      <c r="AS6" s="292"/>
    </row>
    <row r="7" spans="2:45" x14ac:dyDescent="0.2">
      <c r="B7" s="292" t="s">
        <v>122</v>
      </c>
      <c r="C7" s="292"/>
      <c r="D7" s="292">
        <f>SUM(D3:D6)</f>
        <v>95</v>
      </c>
      <c r="E7" s="301">
        <f t="shared" si="0"/>
        <v>1</v>
      </c>
      <c r="F7" s="292"/>
      <c r="G7" s="292"/>
      <c r="H7" s="292"/>
      <c r="I7" s="292"/>
      <c r="J7" s="292"/>
      <c r="K7" s="292">
        <f>SUM(K3:K6)</f>
        <v>63</v>
      </c>
      <c r="L7" s="301">
        <f t="shared" si="1"/>
        <v>1</v>
      </c>
      <c r="M7" s="292"/>
      <c r="N7" s="292"/>
      <c r="O7" s="292"/>
      <c r="P7" s="292"/>
      <c r="Q7" s="292"/>
      <c r="R7" s="292"/>
      <c r="S7" s="302">
        <v>0.03</v>
      </c>
      <c r="T7" s="292"/>
      <c r="U7" s="292"/>
      <c r="V7" s="292"/>
      <c r="W7" s="292"/>
      <c r="X7" s="292"/>
      <c r="Y7" s="292"/>
      <c r="Z7" s="292"/>
      <c r="AA7" s="292"/>
      <c r="AB7" s="302">
        <v>0.02</v>
      </c>
      <c r="AC7" s="292"/>
      <c r="AD7" s="292"/>
      <c r="AE7" s="292"/>
      <c r="AF7" s="292"/>
      <c r="AG7" s="292"/>
      <c r="AH7" s="292"/>
      <c r="AI7" s="292"/>
      <c r="AJ7" s="292"/>
      <c r="AK7" s="302">
        <v>0.02</v>
      </c>
      <c r="AL7" s="292"/>
      <c r="AM7" s="292"/>
      <c r="AN7" s="302">
        <v>0.1</v>
      </c>
      <c r="AO7" s="292"/>
      <c r="AP7" s="292"/>
      <c r="AQ7" s="302">
        <v>0.08</v>
      </c>
      <c r="AR7" s="292"/>
      <c r="AS7" s="292"/>
    </row>
    <row r="10" spans="2:45" ht="101" x14ac:dyDescent="0.2">
      <c r="B10" s="299" t="s">
        <v>341</v>
      </c>
      <c r="C10" s="293" t="s">
        <v>294</v>
      </c>
      <c r="D10" s="293" t="s">
        <v>295</v>
      </c>
      <c r="E10" s="293" t="s">
        <v>296</v>
      </c>
      <c r="F10" s="293" t="s">
        <v>297</v>
      </c>
      <c r="G10" s="294" t="s">
        <v>298</v>
      </c>
      <c r="H10" s="294" t="s">
        <v>299</v>
      </c>
      <c r="I10" s="294" t="s">
        <v>300</v>
      </c>
      <c r="J10" s="294" t="s">
        <v>301</v>
      </c>
      <c r="K10" s="294" t="s">
        <v>302</v>
      </c>
      <c r="L10" s="294" t="s">
        <v>303</v>
      </c>
      <c r="M10" s="295" t="s">
        <v>304</v>
      </c>
      <c r="N10" s="295" t="s">
        <v>305</v>
      </c>
      <c r="O10" s="295" t="s">
        <v>306</v>
      </c>
      <c r="P10" s="295" t="s">
        <v>307</v>
      </c>
      <c r="Q10" s="295" t="s">
        <v>308</v>
      </c>
      <c r="R10" s="295" t="s">
        <v>309</v>
      </c>
      <c r="S10" s="295" t="s">
        <v>310</v>
      </c>
      <c r="T10" s="295" t="s">
        <v>311</v>
      </c>
      <c r="U10" s="295" t="s">
        <v>312</v>
      </c>
      <c r="V10" s="296" t="s">
        <v>313</v>
      </c>
      <c r="W10" s="296" t="s">
        <v>314</v>
      </c>
      <c r="X10" s="296" t="s">
        <v>315</v>
      </c>
      <c r="Y10" s="296" t="s">
        <v>316</v>
      </c>
      <c r="Z10" s="296" t="s">
        <v>317</v>
      </c>
      <c r="AA10" s="296" t="s">
        <v>318</v>
      </c>
      <c r="AB10" s="296" t="s">
        <v>319</v>
      </c>
      <c r="AC10" s="296" t="s">
        <v>320</v>
      </c>
      <c r="AD10" s="296" t="s">
        <v>321</v>
      </c>
      <c r="AE10" s="297" t="s">
        <v>322</v>
      </c>
      <c r="AF10" s="297" t="s">
        <v>323</v>
      </c>
      <c r="AG10" s="297" t="s">
        <v>324</v>
      </c>
      <c r="AH10" s="297" t="s">
        <v>325</v>
      </c>
      <c r="AI10" s="297" t="s">
        <v>326</v>
      </c>
      <c r="AJ10" s="297" t="s">
        <v>327</v>
      </c>
      <c r="AK10" s="297" t="s">
        <v>328</v>
      </c>
      <c r="AL10" s="297" t="s">
        <v>329</v>
      </c>
      <c r="AM10" s="297" t="s">
        <v>330</v>
      </c>
      <c r="AN10" s="298" t="s">
        <v>331</v>
      </c>
      <c r="AO10" s="298" t="s">
        <v>332</v>
      </c>
      <c r="AP10" s="298" t="s">
        <v>333</v>
      </c>
      <c r="AQ10" s="298" t="s">
        <v>334</v>
      </c>
      <c r="AR10" s="298" t="s">
        <v>335</v>
      </c>
      <c r="AS10" s="298" t="s">
        <v>336</v>
      </c>
    </row>
    <row r="11" spans="2:45" x14ac:dyDescent="0.2">
      <c r="B11" s="292" t="s">
        <v>337</v>
      </c>
      <c r="C11" s="292"/>
      <c r="D11" s="292"/>
      <c r="E11" s="292"/>
      <c r="F11" s="292"/>
      <c r="G11" s="292"/>
      <c r="H11" s="292"/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2"/>
      <c r="U11" s="292"/>
      <c r="V11" s="292"/>
      <c r="W11" s="292"/>
      <c r="X11" s="292"/>
      <c r="Y11" s="292"/>
      <c r="Z11" s="292"/>
      <c r="AA11" s="292"/>
      <c r="AB11" s="292"/>
      <c r="AC11" s="292"/>
      <c r="AD11" s="292"/>
      <c r="AE11" s="292"/>
      <c r="AF11" s="292"/>
      <c r="AG11" s="292"/>
      <c r="AH11" s="292"/>
      <c r="AI11" s="292"/>
      <c r="AJ11" s="292"/>
      <c r="AK11" s="292"/>
      <c r="AL11" s="292"/>
      <c r="AM11" s="292"/>
      <c r="AN11" s="292"/>
      <c r="AO11" s="292"/>
      <c r="AP11" s="292"/>
      <c r="AQ11" s="292"/>
      <c r="AR11" s="292"/>
      <c r="AS11" s="292"/>
    </row>
    <row r="12" spans="2:45" x14ac:dyDescent="0.2">
      <c r="B12" s="292" t="s">
        <v>338</v>
      </c>
      <c r="C12" s="292"/>
      <c r="D12" s="292"/>
      <c r="E12" s="292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2"/>
      <c r="U12" s="292"/>
      <c r="V12" s="292"/>
      <c r="W12" s="292"/>
      <c r="X12" s="292"/>
      <c r="Y12" s="292"/>
      <c r="Z12" s="292"/>
      <c r="AA12" s="292"/>
      <c r="AB12" s="292"/>
      <c r="AC12" s="292"/>
      <c r="AD12" s="292"/>
      <c r="AE12" s="292"/>
      <c r="AF12" s="292"/>
      <c r="AG12" s="292"/>
      <c r="AH12" s="292"/>
      <c r="AI12" s="292"/>
      <c r="AJ12" s="292"/>
      <c r="AK12" s="292"/>
      <c r="AL12" s="292"/>
      <c r="AM12" s="292"/>
      <c r="AN12" s="292"/>
      <c r="AO12" s="292"/>
      <c r="AP12" s="292"/>
      <c r="AQ12" s="292"/>
      <c r="AR12" s="292"/>
      <c r="AS12" s="292"/>
    </row>
    <row r="13" spans="2:45" x14ac:dyDescent="0.2">
      <c r="B13" s="292" t="s">
        <v>339</v>
      </c>
      <c r="C13" s="292"/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2"/>
      <c r="U13" s="292"/>
      <c r="V13" s="292"/>
      <c r="W13" s="292"/>
      <c r="X13" s="292"/>
      <c r="Y13" s="292"/>
      <c r="Z13" s="292"/>
      <c r="AA13" s="292"/>
      <c r="AB13" s="292"/>
      <c r="AC13" s="292"/>
      <c r="AD13" s="292"/>
      <c r="AE13" s="292"/>
      <c r="AF13" s="292"/>
      <c r="AG13" s="292"/>
      <c r="AH13" s="292"/>
      <c r="AI13" s="292"/>
      <c r="AJ13" s="292"/>
      <c r="AK13" s="292"/>
      <c r="AL13" s="292"/>
      <c r="AM13" s="292"/>
      <c r="AN13" s="292"/>
      <c r="AO13" s="292"/>
      <c r="AP13" s="292"/>
      <c r="AQ13" s="292"/>
      <c r="AR13" s="292"/>
      <c r="AS13" s="292"/>
    </row>
    <row r="14" spans="2:45" x14ac:dyDescent="0.2">
      <c r="B14" s="292" t="s">
        <v>340</v>
      </c>
      <c r="C14" s="292"/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2"/>
      <c r="Z14" s="292"/>
      <c r="AA14" s="292"/>
      <c r="AB14" s="292"/>
      <c r="AC14" s="292"/>
      <c r="AD14" s="292"/>
      <c r="AE14" s="292"/>
      <c r="AF14" s="292"/>
      <c r="AG14" s="292"/>
      <c r="AH14" s="292"/>
      <c r="AI14" s="292"/>
      <c r="AJ14" s="292"/>
      <c r="AK14" s="292"/>
      <c r="AL14" s="292"/>
      <c r="AM14" s="292"/>
      <c r="AN14" s="292"/>
      <c r="AO14" s="292"/>
      <c r="AP14" s="292"/>
      <c r="AQ14" s="292"/>
      <c r="AR14" s="292"/>
      <c r="AS14" s="292"/>
    </row>
    <row r="15" spans="2:45" x14ac:dyDescent="0.2">
      <c r="B15" s="292" t="s">
        <v>122</v>
      </c>
      <c r="C15" s="292"/>
      <c r="D15" s="292"/>
      <c r="E15" s="292"/>
      <c r="F15" s="292"/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2"/>
      <c r="U15" s="292"/>
      <c r="V15" s="292"/>
      <c r="W15" s="292"/>
      <c r="X15" s="292"/>
      <c r="Y15" s="292"/>
      <c r="Z15" s="292"/>
      <c r="AA15" s="292"/>
      <c r="AB15" s="292"/>
      <c r="AC15" s="292"/>
      <c r="AD15" s="292"/>
      <c r="AE15" s="292"/>
      <c r="AF15" s="292"/>
      <c r="AG15" s="292"/>
      <c r="AH15" s="292"/>
      <c r="AI15" s="292"/>
      <c r="AJ15" s="292"/>
      <c r="AK15" s="292"/>
      <c r="AL15" s="292"/>
      <c r="AM15" s="292"/>
      <c r="AN15" s="292"/>
      <c r="AO15" s="292"/>
      <c r="AP15" s="292"/>
      <c r="AQ15" s="292"/>
      <c r="AR15" s="292"/>
      <c r="AS15" s="292"/>
    </row>
    <row r="18" spans="2:45" ht="101" x14ac:dyDescent="0.2">
      <c r="B18" s="299" t="s">
        <v>346</v>
      </c>
      <c r="C18" s="293" t="s">
        <v>294</v>
      </c>
      <c r="D18" s="293" t="s">
        <v>295</v>
      </c>
      <c r="E18" s="293" t="s">
        <v>296</v>
      </c>
      <c r="F18" s="293" t="s">
        <v>297</v>
      </c>
      <c r="G18" s="294" t="s">
        <v>298</v>
      </c>
      <c r="H18" s="294" t="s">
        <v>299</v>
      </c>
      <c r="I18" s="294" t="s">
        <v>300</v>
      </c>
      <c r="J18" s="294" t="s">
        <v>301</v>
      </c>
      <c r="K18" s="294" t="s">
        <v>302</v>
      </c>
      <c r="L18" s="294" t="s">
        <v>303</v>
      </c>
      <c r="M18" s="295" t="s">
        <v>304</v>
      </c>
      <c r="N18" s="295" t="s">
        <v>305</v>
      </c>
      <c r="O18" s="295" t="s">
        <v>306</v>
      </c>
      <c r="P18" s="295" t="s">
        <v>307</v>
      </c>
      <c r="Q18" s="295" t="s">
        <v>308</v>
      </c>
      <c r="R18" s="295" t="s">
        <v>309</v>
      </c>
      <c r="S18" s="295" t="s">
        <v>310</v>
      </c>
      <c r="T18" s="295" t="s">
        <v>311</v>
      </c>
      <c r="U18" s="295" t="s">
        <v>312</v>
      </c>
      <c r="V18" s="296" t="s">
        <v>313</v>
      </c>
      <c r="W18" s="296" t="s">
        <v>314</v>
      </c>
      <c r="X18" s="296" t="s">
        <v>315</v>
      </c>
      <c r="Y18" s="296" t="s">
        <v>316</v>
      </c>
      <c r="Z18" s="296" t="s">
        <v>317</v>
      </c>
      <c r="AA18" s="296" t="s">
        <v>318</v>
      </c>
      <c r="AB18" s="296" t="s">
        <v>319</v>
      </c>
      <c r="AC18" s="296" t="s">
        <v>320</v>
      </c>
      <c r="AD18" s="296" t="s">
        <v>321</v>
      </c>
      <c r="AE18" s="297" t="s">
        <v>322</v>
      </c>
      <c r="AF18" s="297" t="s">
        <v>323</v>
      </c>
      <c r="AG18" s="297" t="s">
        <v>324</v>
      </c>
      <c r="AH18" s="297" t="s">
        <v>325</v>
      </c>
      <c r="AI18" s="297" t="s">
        <v>326</v>
      </c>
      <c r="AJ18" s="297" t="s">
        <v>327</v>
      </c>
      <c r="AK18" s="297" t="s">
        <v>328</v>
      </c>
      <c r="AL18" s="297" t="s">
        <v>329</v>
      </c>
      <c r="AM18" s="297" t="s">
        <v>330</v>
      </c>
      <c r="AN18" s="298" t="s">
        <v>331</v>
      </c>
      <c r="AO18" s="298" t="s">
        <v>332</v>
      </c>
      <c r="AP18" s="298" t="s">
        <v>333</v>
      </c>
      <c r="AQ18" s="298" t="s">
        <v>334</v>
      </c>
      <c r="AR18" s="298" t="s">
        <v>335</v>
      </c>
      <c r="AS18" s="298" t="s">
        <v>336</v>
      </c>
    </row>
    <row r="19" spans="2:45" x14ac:dyDescent="0.2">
      <c r="B19" s="292" t="s">
        <v>337</v>
      </c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  <c r="AA19" s="292"/>
      <c r="AB19" s="292"/>
      <c r="AC19" s="292"/>
      <c r="AD19" s="292"/>
      <c r="AE19" s="292"/>
      <c r="AF19" s="292"/>
      <c r="AG19" s="292"/>
      <c r="AH19" s="292"/>
      <c r="AI19" s="292"/>
      <c r="AJ19" s="292"/>
      <c r="AK19" s="292"/>
      <c r="AL19" s="292"/>
      <c r="AM19" s="292"/>
      <c r="AN19" s="292"/>
      <c r="AO19" s="292"/>
      <c r="AP19" s="292"/>
      <c r="AQ19" s="292"/>
      <c r="AR19" s="292"/>
      <c r="AS19" s="292"/>
    </row>
    <row r="20" spans="2:45" x14ac:dyDescent="0.2">
      <c r="B20" s="292" t="s">
        <v>338</v>
      </c>
      <c r="C20" s="292"/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  <c r="AA20" s="292"/>
      <c r="AB20" s="292"/>
      <c r="AC20" s="292"/>
      <c r="AD20" s="292"/>
      <c r="AE20" s="292"/>
      <c r="AF20" s="292"/>
      <c r="AG20" s="292"/>
      <c r="AH20" s="292"/>
      <c r="AI20" s="292"/>
      <c r="AJ20" s="292"/>
      <c r="AK20" s="292"/>
      <c r="AL20" s="292"/>
      <c r="AM20" s="292"/>
      <c r="AN20" s="292"/>
      <c r="AO20" s="292"/>
      <c r="AP20" s="292"/>
      <c r="AQ20" s="292"/>
      <c r="AR20" s="292"/>
      <c r="AS20" s="292"/>
    </row>
    <row r="21" spans="2:45" x14ac:dyDescent="0.2">
      <c r="B21" s="292" t="s">
        <v>339</v>
      </c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  <c r="AA21" s="292"/>
      <c r="AB21" s="292"/>
      <c r="AC21" s="292"/>
      <c r="AD21" s="292"/>
      <c r="AE21" s="292"/>
      <c r="AF21" s="292"/>
      <c r="AG21" s="292"/>
      <c r="AH21" s="292"/>
      <c r="AI21" s="292"/>
      <c r="AJ21" s="292"/>
      <c r="AK21" s="292"/>
      <c r="AL21" s="292"/>
      <c r="AM21" s="292"/>
      <c r="AN21" s="292"/>
      <c r="AO21" s="292"/>
      <c r="AP21" s="292"/>
      <c r="AQ21" s="292"/>
      <c r="AR21" s="292"/>
      <c r="AS21" s="292"/>
    </row>
    <row r="22" spans="2:45" x14ac:dyDescent="0.2">
      <c r="B22" s="292" t="s">
        <v>340</v>
      </c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  <c r="AA22" s="292"/>
      <c r="AB22" s="292"/>
      <c r="AC22" s="292"/>
      <c r="AD22" s="292"/>
      <c r="AE22" s="292"/>
      <c r="AF22" s="292"/>
      <c r="AG22" s="292"/>
      <c r="AH22" s="292"/>
      <c r="AI22" s="292"/>
      <c r="AJ22" s="292"/>
      <c r="AK22" s="292"/>
      <c r="AL22" s="292"/>
      <c r="AM22" s="292"/>
      <c r="AN22" s="292"/>
      <c r="AO22" s="292"/>
      <c r="AP22" s="292"/>
      <c r="AQ22" s="292"/>
      <c r="AR22" s="292"/>
      <c r="AS22" s="292"/>
    </row>
    <row r="23" spans="2:45" x14ac:dyDescent="0.2">
      <c r="B23" s="292" t="s">
        <v>122</v>
      </c>
      <c r="C23" s="292"/>
      <c r="D23" s="292"/>
      <c r="E23" s="292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  <c r="AA23" s="292"/>
      <c r="AB23" s="292"/>
      <c r="AC23" s="292"/>
      <c r="AD23" s="292"/>
      <c r="AE23" s="292"/>
      <c r="AF23" s="292"/>
      <c r="AG23" s="292"/>
      <c r="AH23" s="292"/>
      <c r="AI23" s="292"/>
      <c r="AJ23" s="292"/>
      <c r="AK23" s="292"/>
      <c r="AL23" s="292"/>
      <c r="AM23" s="292"/>
      <c r="AN23" s="292"/>
      <c r="AO23" s="292"/>
      <c r="AP23" s="292"/>
      <c r="AQ23" s="292"/>
      <c r="AR23" s="292"/>
      <c r="AS23" s="292"/>
    </row>
    <row r="26" spans="2:45" ht="101" x14ac:dyDescent="0.2">
      <c r="B26" s="299" t="s">
        <v>347</v>
      </c>
      <c r="C26" s="293" t="s">
        <v>294</v>
      </c>
      <c r="D26" s="293" t="s">
        <v>295</v>
      </c>
      <c r="E26" s="293" t="s">
        <v>296</v>
      </c>
      <c r="F26" s="293" t="s">
        <v>297</v>
      </c>
      <c r="G26" s="294" t="s">
        <v>298</v>
      </c>
      <c r="H26" s="294" t="s">
        <v>299</v>
      </c>
      <c r="I26" s="294" t="s">
        <v>300</v>
      </c>
      <c r="J26" s="294" t="s">
        <v>301</v>
      </c>
      <c r="K26" s="294" t="s">
        <v>302</v>
      </c>
      <c r="L26" s="294" t="s">
        <v>303</v>
      </c>
      <c r="M26" s="295" t="s">
        <v>304</v>
      </c>
      <c r="N26" s="295" t="s">
        <v>305</v>
      </c>
      <c r="O26" s="295" t="s">
        <v>306</v>
      </c>
      <c r="P26" s="295" t="s">
        <v>307</v>
      </c>
      <c r="Q26" s="295" t="s">
        <v>308</v>
      </c>
      <c r="R26" s="295" t="s">
        <v>309</v>
      </c>
      <c r="S26" s="295" t="s">
        <v>310</v>
      </c>
      <c r="T26" s="295" t="s">
        <v>311</v>
      </c>
      <c r="U26" s="295" t="s">
        <v>312</v>
      </c>
      <c r="V26" s="296" t="s">
        <v>313</v>
      </c>
      <c r="W26" s="296" t="s">
        <v>314</v>
      </c>
      <c r="X26" s="296" t="s">
        <v>315</v>
      </c>
      <c r="Y26" s="296" t="s">
        <v>316</v>
      </c>
      <c r="Z26" s="296" t="s">
        <v>317</v>
      </c>
      <c r="AA26" s="296" t="s">
        <v>318</v>
      </c>
      <c r="AB26" s="296" t="s">
        <v>319</v>
      </c>
      <c r="AC26" s="296" t="s">
        <v>320</v>
      </c>
      <c r="AD26" s="296" t="s">
        <v>321</v>
      </c>
      <c r="AE26" s="297" t="s">
        <v>322</v>
      </c>
      <c r="AF26" s="297" t="s">
        <v>323</v>
      </c>
      <c r="AG26" s="297" t="s">
        <v>324</v>
      </c>
      <c r="AH26" s="297" t="s">
        <v>325</v>
      </c>
      <c r="AI26" s="297" t="s">
        <v>326</v>
      </c>
      <c r="AJ26" s="297" t="s">
        <v>327</v>
      </c>
      <c r="AK26" s="297" t="s">
        <v>328</v>
      </c>
      <c r="AL26" s="297" t="s">
        <v>329</v>
      </c>
      <c r="AM26" s="297" t="s">
        <v>330</v>
      </c>
      <c r="AN26" s="298" t="s">
        <v>331</v>
      </c>
      <c r="AO26" s="298" t="s">
        <v>332</v>
      </c>
      <c r="AP26" s="298" t="s">
        <v>333</v>
      </c>
      <c r="AQ26" s="298" t="s">
        <v>334</v>
      </c>
      <c r="AR26" s="298" t="s">
        <v>335</v>
      </c>
      <c r="AS26" s="298" t="s">
        <v>336</v>
      </c>
    </row>
    <row r="27" spans="2:45" x14ac:dyDescent="0.2">
      <c r="B27" s="292" t="s">
        <v>337</v>
      </c>
      <c r="C27" s="292"/>
      <c r="D27" s="292"/>
      <c r="E27" s="292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2"/>
      <c r="U27" s="292"/>
      <c r="V27" s="292"/>
      <c r="W27" s="292"/>
      <c r="X27" s="292"/>
      <c r="Y27" s="292"/>
      <c r="Z27" s="292"/>
      <c r="AA27" s="292"/>
      <c r="AB27" s="292"/>
      <c r="AC27" s="292"/>
      <c r="AD27" s="292"/>
      <c r="AE27" s="292"/>
      <c r="AF27" s="292"/>
      <c r="AG27" s="292"/>
      <c r="AH27" s="292"/>
      <c r="AI27" s="292"/>
      <c r="AJ27" s="292"/>
      <c r="AK27" s="292"/>
      <c r="AL27" s="292"/>
      <c r="AM27" s="292"/>
      <c r="AN27" s="292"/>
      <c r="AO27" s="292"/>
      <c r="AP27" s="292"/>
      <c r="AQ27" s="292"/>
      <c r="AR27" s="292"/>
      <c r="AS27" s="292"/>
    </row>
    <row r="28" spans="2:45" x14ac:dyDescent="0.2">
      <c r="B28" s="292" t="s">
        <v>338</v>
      </c>
      <c r="C28" s="292"/>
      <c r="D28" s="292"/>
      <c r="E28" s="292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2"/>
      <c r="U28" s="292"/>
      <c r="V28" s="292"/>
      <c r="W28" s="292"/>
      <c r="X28" s="292"/>
      <c r="Y28" s="292"/>
      <c r="Z28" s="292"/>
      <c r="AA28" s="292"/>
      <c r="AB28" s="292"/>
      <c r="AC28" s="292"/>
      <c r="AD28" s="292"/>
      <c r="AE28" s="292"/>
      <c r="AF28" s="292"/>
      <c r="AG28" s="292"/>
      <c r="AH28" s="292"/>
      <c r="AI28" s="292"/>
      <c r="AJ28" s="292"/>
      <c r="AK28" s="292"/>
      <c r="AL28" s="292"/>
      <c r="AM28" s="292"/>
      <c r="AN28" s="292"/>
      <c r="AO28" s="292"/>
      <c r="AP28" s="292"/>
      <c r="AQ28" s="292"/>
      <c r="AR28" s="292"/>
      <c r="AS28" s="292"/>
    </row>
    <row r="29" spans="2:45" x14ac:dyDescent="0.2">
      <c r="B29" s="292" t="s">
        <v>339</v>
      </c>
      <c r="C29" s="292"/>
      <c r="D29" s="292"/>
      <c r="E29" s="292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92"/>
      <c r="Z29" s="292"/>
      <c r="AA29" s="292"/>
      <c r="AB29" s="292"/>
      <c r="AC29" s="292"/>
      <c r="AD29" s="292"/>
      <c r="AE29" s="292"/>
      <c r="AF29" s="292"/>
      <c r="AG29" s="292"/>
      <c r="AH29" s="292"/>
      <c r="AI29" s="292"/>
      <c r="AJ29" s="292"/>
      <c r="AK29" s="292"/>
      <c r="AL29" s="292"/>
      <c r="AM29" s="292"/>
      <c r="AN29" s="292"/>
      <c r="AO29" s="292"/>
      <c r="AP29" s="292"/>
      <c r="AQ29" s="292"/>
      <c r="AR29" s="292"/>
      <c r="AS29" s="292"/>
    </row>
    <row r="30" spans="2:45" x14ac:dyDescent="0.2">
      <c r="B30" s="292" t="s">
        <v>340</v>
      </c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292"/>
      <c r="T30" s="292"/>
      <c r="U30" s="292"/>
      <c r="V30" s="292"/>
      <c r="W30" s="292"/>
      <c r="X30" s="292"/>
      <c r="Y30" s="292"/>
      <c r="Z30" s="292"/>
      <c r="AA30" s="292"/>
      <c r="AB30" s="292"/>
      <c r="AC30" s="292"/>
      <c r="AD30" s="292"/>
      <c r="AE30" s="292"/>
      <c r="AF30" s="292"/>
      <c r="AG30" s="292"/>
      <c r="AH30" s="292"/>
      <c r="AI30" s="292"/>
      <c r="AJ30" s="292"/>
      <c r="AK30" s="292"/>
      <c r="AL30" s="292"/>
      <c r="AM30" s="292"/>
      <c r="AN30" s="292"/>
      <c r="AO30" s="292"/>
      <c r="AP30" s="292"/>
      <c r="AQ30" s="292"/>
      <c r="AR30" s="292"/>
      <c r="AS30" s="292"/>
    </row>
    <row r="31" spans="2:45" x14ac:dyDescent="0.2">
      <c r="B31" s="292" t="s">
        <v>122</v>
      </c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  <c r="V31" s="292"/>
      <c r="W31" s="292"/>
      <c r="X31" s="292"/>
      <c r="Y31" s="292"/>
      <c r="Z31" s="292"/>
      <c r="AA31" s="292"/>
      <c r="AB31" s="292"/>
      <c r="AC31" s="292"/>
      <c r="AD31" s="292"/>
      <c r="AE31" s="292"/>
      <c r="AF31" s="292"/>
      <c r="AG31" s="292"/>
      <c r="AH31" s="292"/>
      <c r="AI31" s="292"/>
      <c r="AJ31" s="292"/>
      <c r="AK31" s="292"/>
      <c r="AL31" s="292"/>
      <c r="AM31" s="292"/>
      <c r="AN31" s="292"/>
      <c r="AO31" s="292"/>
      <c r="AP31" s="292"/>
      <c r="AQ31" s="292"/>
      <c r="AR31" s="292"/>
      <c r="AS31" s="292"/>
    </row>
    <row r="34" spans="2:45" ht="101" x14ac:dyDescent="0.2">
      <c r="B34" s="300" t="s">
        <v>342</v>
      </c>
      <c r="C34" s="293" t="s">
        <v>294</v>
      </c>
      <c r="D34" s="293" t="s">
        <v>295</v>
      </c>
      <c r="E34" s="293" t="s">
        <v>296</v>
      </c>
      <c r="F34" s="293" t="s">
        <v>297</v>
      </c>
      <c r="G34" s="294" t="s">
        <v>298</v>
      </c>
      <c r="H34" s="294" t="s">
        <v>299</v>
      </c>
      <c r="I34" s="294" t="s">
        <v>300</v>
      </c>
      <c r="J34" s="294" t="s">
        <v>301</v>
      </c>
      <c r="K34" s="294" t="s">
        <v>302</v>
      </c>
      <c r="L34" s="294" t="s">
        <v>303</v>
      </c>
      <c r="M34" s="295" t="s">
        <v>304</v>
      </c>
      <c r="N34" s="295" t="s">
        <v>305</v>
      </c>
      <c r="O34" s="295" t="s">
        <v>306</v>
      </c>
      <c r="P34" s="295" t="s">
        <v>307</v>
      </c>
      <c r="Q34" s="295" t="s">
        <v>308</v>
      </c>
      <c r="R34" s="295" t="s">
        <v>309</v>
      </c>
      <c r="S34" s="295" t="s">
        <v>310</v>
      </c>
      <c r="T34" s="295" t="s">
        <v>311</v>
      </c>
      <c r="U34" s="295" t="s">
        <v>312</v>
      </c>
      <c r="V34" s="296" t="s">
        <v>313</v>
      </c>
      <c r="W34" s="296" t="s">
        <v>314</v>
      </c>
      <c r="X34" s="296" t="s">
        <v>315</v>
      </c>
      <c r="Y34" s="296" t="s">
        <v>316</v>
      </c>
      <c r="Z34" s="296" t="s">
        <v>317</v>
      </c>
      <c r="AA34" s="296" t="s">
        <v>318</v>
      </c>
      <c r="AB34" s="296" t="s">
        <v>319</v>
      </c>
      <c r="AC34" s="296" t="s">
        <v>320</v>
      </c>
      <c r="AD34" s="296" t="s">
        <v>321</v>
      </c>
      <c r="AE34" s="297" t="s">
        <v>322</v>
      </c>
      <c r="AF34" s="297" t="s">
        <v>323</v>
      </c>
      <c r="AG34" s="297" t="s">
        <v>324</v>
      </c>
      <c r="AH34" s="297" t="s">
        <v>325</v>
      </c>
      <c r="AI34" s="297" t="s">
        <v>326</v>
      </c>
      <c r="AJ34" s="297" t="s">
        <v>327</v>
      </c>
      <c r="AK34" s="297" t="s">
        <v>328</v>
      </c>
      <c r="AL34" s="297" t="s">
        <v>329</v>
      </c>
      <c r="AM34" s="297" t="s">
        <v>330</v>
      </c>
      <c r="AN34" s="298" t="s">
        <v>331</v>
      </c>
      <c r="AO34" s="298" t="s">
        <v>332</v>
      </c>
      <c r="AP34" s="298" t="s">
        <v>333</v>
      </c>
      <c r="AQ34" s="298" t="s">
        <v>334</v>
      </c>
      <c r="AR34" s="298" t="s">
        <v>335</v>
      </c>
      <c r="AS34" s="298" t="s">
        <v>336</v>
      </c>
    </row>
    <row r="35" spans="2:45" x14ac:dyDescent="0.2">
      <c r="B35" s="292"/>
      <c r="C35" s="292"/>
      <c r="D35" s="292"/>
      <c r="E35" s="292"/>
      <c r="F35" s="292"/>
      <c r="G35" s="292"/>
      <c r="H35" s="292"/>
      <c r="I35" s="292"/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2"/>
      <c r="U35" s="292"/>
      <c r="V35" s="292"/>
      <c r="W35" s="292"/>
      <c r="X35" s="292"/>
      <c r="Y35" s="292"/>
      <c r="Z35" s="292"/>
      <c r="AA35" s="292"/>
      <c r="AB35" s="292"/>
      <c r="AC35" s="292"/>
      <c r="AD35" s="292"/>
      <c r="AE35" s="292"/>
      <c r="AF35" s="292"/>
      <c r="AG35" s="292"/>
      <c r="AH35" s="292"/>
      <c r="AI35" s="292"/>
      <c r="AJ35" s="292"/>
      <c r="AK35" s="292"/>
      <c r="AL35" s="292"/>
      <c r="AM35" s="292"/>
      <c r="AN35" s="292"/>
      <c r="AO35" s="292"/>
      <c r="AP35" s="292"/>
      <c r="AQ35" s="292"/>
      <c r="AR35" s="292"/>
      <c r="AS35" s="292"/>
    </row>
    <row r="36" spans="2:45" x14ac:dyDescent="0.2"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2"/>
      <c r="U36" s="292"/>
      <c r="V36" s="292"/>
      <c r="W36" s="292"/>
      <c r="X36" s="292"/>
      <c r="Y36" s="292"/>
      <c r="Z36" s="292"/>
      <c r="AA36" s="292"/>
      <c r="AB36" s="292"/>
      <c r="AC36" s="292"/>
      <c r="AD36" s="292"/>
      <c r="AE36" s="292"/>
      <c r="AF36" s="292"/>
      <c r="AG36" s="292"/>
      <c r="AH36" s="292"/>
      <c r="AI36" s="292"/>
      <c r="AJ36" s="292"/>
      <c r="AK36" s="292"/>
      <c r="AL36" s="292"/>
      <c r="AM36" s="292"/>
      <c r="AN36" s="292"/>
      <c r="AO36" s="292"/>
      <c r="AP36" s="292"/>
      <c r="AQ36" s="292"/>
      <c r="AR36" s="292"/>
      <c r="AS36" s="292"/>
    </row>
    <row r="37" spans="2:45" x14ac:dyDescent="0.2"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2"/>
      <c r="U37" s="292"/>
      <c r="V37" s="292"/>
      <c r="W37" s="292"/>
      <c r="X37" s="292"/>
      <c r="Y37" s="292"/>
      <c r="Z37" s="292"/>
      <c r="AA37" s="292"/>
      <c r="AB37" s="292"/>
      <c r="AC37" s="292"/>
      <c r="AD37" s="292"/>
      <c r="AE37" s="292"/>
      <c r="AF37" s="292"/>
      <c r="AG37" s="292"/>
      <c r="AH37" s="292"/>
      <c r="AI37" s="292"/>
      <c r="AJ37" s="292"/>
      <c r="AK37" s="292"/>
      <c r="AL37" s="292"/>
      <c r="AM37" s="292"/>
      <c r="AN37" s="292"/>
      <c r="AO37" s="292"/>
      <c r="AP37" s="292"/>
      <c r="AQ37" s="292"/>
      <c r="AR37" s="292"/>
      <c r="AS37" s="292"/>
    </row>
    <row r="38" spans="2:45" x14ac:dyDescent="0.2">
      <c r="B38" s="292"/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  <c r="O38" s="292"/>
      <c r="P38" s="292"/>
      <c r="Q38" s="292"/>
      <c r="R38" s="292"/>
      <c r="S38" s="292"/>
      <c r="T38" s="292"/>
      <c r="U38" s="292"/>
      <c r="V38" s="292"/>
      <c r="W38" s="292"/>
      <c r="X38" s="292"/>
      <c r="Y38" s="292"/>
      <c r="Z38" s="292"/>
      <c r="AA38" s="292"/>
      <c r="AB38" s="292"/>
      <c r="AC38" s="292"/>
      <c r="AD38" s="292"/>
      <c r="AE38" s="292"/>
      <c r="AF38" s="292"/>
      <c r="AG38" s="292"/>
      <c r="AH38" s="292"/>
      <c r="AI38" s="292"/>
      <c r="AJ38" s="292"/>
      <c r="AK38" s="292"/>
      <c r="AL38" s="292"/>
      <c r="AM38" s="292"/>
      <c r="AN38" s="292"/>
      <c r="AO38" s="292"/>
      <c r="AP38" s="292"/>
      <c r="AQ38" s="292"/>
      <c r="AR38" s="292"/>
      <c r="AS38" s="292"/>
    </row>
    <row r="39" spans="2:45" x14ac:dyDescent="0.2">
      <c r="B39" s="292" t="s">
        <v>122</v>
      </c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92"/>
      <c r="AB39" s="292"/>
      <c r="AC39" s="292"/>
      <c r="AD39" s="292"/>
      <c r="AE39" s="292"/>
      <c r="AF39" s="292"/>
      <c r="AG39" s="292"/>
      <c r="AH39" s="292"/>
      <c r="AI39" s="292"/>
      <c r="AJ39" s="292"/>
      <c r="AK39" s="292"/>
      <c r="AL39" s="292"/>
      <c r="AM39" s="292"/>
      <c r="AN39" s="292"/>
      <c r="AO39" s="292"/>
      <c r="AP39" s="292"/>
      <c r="AQ39" s="292"/>
      <c r="AR39" s="292"/>
      <c r="AS39" s="292"/>
    </row>
    <row r="42" spans="2:45" ht="101" x14ac:dyDescent="0.2">
      <c r="B42" s="300" t="s">
        <v>343</v>
      </c>
      <c r="C42" s="293" t="s">
        <v>294</v>
      </c>
      <c r="D42" s="293" t="s">
        <v>295</v>
      </c>
      <c r="E42" s="293" t="s">
        <v>296</v>
      </c>
      <c r="F42" s="293" t="s">
        <v>297</v>
      </c>
      <c r="G42" s="294" t="s">
        <v>298</v>
      </c>
      <c r="H42" s="294" t="s">
        <v>299</v>
      </c>
      <c r="I42" s="294" t="s">
        <v>300</v>
      </c>
      <c r="J42" s="294" t="s">
        <v>301</v>
      </c>
      <c r="K42" s="294" t="s">
        <v>302</v>
      </c>
      <c r="L42" s="294" t="s">
        <v>303</v>
      </c>
      <c r="M42" s="295" t="s">
        <v>304</v>
      </c>
      <c r="N42" s="295" t="s">
        <v>305</v>
      </c>
      <c r="O42" s="295" t="s">
        <v>306</v>
      </c>
      <c r="P42" s="295" t="s">
        <v>307</v>
      </c>
      <c r="Q42" s="295" t="s">
        <v>308</v>
      </c>
      <c r="R42" s="295" t="s">
        <v>309</v>
      </c>
      <c r="S42" s="295" t="s">
        <v>310</v>
      </c>
      <c r="T42" s="295" t="s">
        <v>311</v>
      </c>
      <c r="U42" s="295" t="s">
        <v>312</v>
      </c>
      <c r="V42" s="296" t="s">
        <v>313</v>
      </c>
      <c r="W42" s="296" t="s">
        <v>314</v>
      </c>
      <c r="X42" s="296" t="s">
        <v>315</v>
      </c>
      <c r="Y42" s="296" t="s">
        <v>316</v>
      </c>
      <c r="Z42" s="296" t="s">
        <v>317</v>
      </c>
      <c r="AA42" s="296" t="s">
        <v>318</v>
      </c>
      <c r="AB42" s="296" t="s">
        <v>319</v>
      </c>
      <c r="AC42" s="296" t="s">
        <v>320</v>
      </c>
      <c r="AD42" s="296" t="s">
        <v>321</v>
      </c>
      <c r="AE42" s="297" t="s">
        <v>322</v>
      </c>
      <c r="AF42" s="297" t="s">
        <v>323</v>
      </c>
      <c r="AG42" s="297" t="s">
        <v>324</v>
      </c>
      <c r="AH42" s="297" t="s">
        <v>325</v>
      </c>
      <c r="AI42" s="297" t="s">
        <v>326</v>
      </c>
      <c r="AJ42" s="297" t="s">
        <v>327</v>
      </c>
      <c r="AK42" s="297" t="s">
        <v>328</v>
      </c>
      <c r="AL42" s="297" t="s">
        <v>329</v>
      </c>
      <c r="AM42" s="297" t="s">
        <v>330</v>
      </c>
      <c r="AN42" s="298" t="s">
        <v>331</v>
      </c>
      <c r="AO42" s="298" t="s">
        <v>332</v>
      </c>
      <c r="AP42" s="298" t="s">
        <v>333</v>
      </c>
      <c r="AQ42" s="298" t="s">
        <v>334</v>
      </c>
      <c r="AR42" s="298" t="s">
        <v>335</v>
      </c>
      <c r="AS42" s="298" t="s">
        <v>336</v>
      </c>
    </row>
    <row r="43" spans="2:45" x14ac:dyDescent="0.2"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2"/>
      <c r="P43" s="292"/>
      <c r="Q43" s="292"/>
      <c r="R43" s="292"/>
      <c r="S43" s="292"/>
      <c r="T43" s="292"/>
      <c r="U43" s="292"/>
      <c r="V43" s="292"/>
      <c r="W43" s="292"/>
      <c r="X43" s="292"/>
      <c r="Y43" s="292"/>
      <c r="Z43" s="292"/>
      <c r="AA43" s="292"/>
      <c r="AB43" s="292"/>
      <c r="AC43" s="292"/>
      <c r="AD43" s="292"/>
      <c r="AE43" s="292"/>
      <c r="AF43" s="292"/>
      <c r="AG43" s="292"/>
      <c r="AH43" s="292"/>
      <c r="AI43" s="292"/>
      <c r="AJ43" s="292"/>
      <c r="AK43" s="292"/>
      <c r="AL43" s="292"/>
      <c r="AM43" s="292"/>
      <c r="AN43" s="292"/>
      <c r="AO43" s="292"/>
      <c r="AP43" s="292"/>
      <c r="AQ43" s="292"/>
      <c r="AR43" s="292"/>
      <c r="AS43" s="292"/>
    </row>
    <row r="44" spans="2:45" x14ac:dyDescent="0.2"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2"/>
      <c r="P44" s="292"/>
      <c r="Q44" s="292"/>
      <c r="R44" s="292"/>
      <c r="S44" s="292"/>
      <c r="T44" s="292"/>
      <c r="U44" s="292"/>
      <c r="V44" s="292"/>
      <c r="W44" s="292"/>
      <c r="X44" s="292"/>
      <c r="Y44" s="292"/>
      <c r="Z44" s="292"/>
      <c r="AA44" s="292"/>
      <c r="AB44" s="292"/>
      <c r="AC44" s="292"/>
      <c r="AD44" s="292"/>
      <c r="AE44" s="292"/>
      <c r="AF44" s="292"/>
      <c r="AG44" s="292"/>
      <c r="AH44" s="292"/>
      <c r="AI44" s="292"/>
      <c r="AJ44" s="292"/>
      <c r="AK44" s="292"/>
      <c r="AL44" s="292"/>
      <c r="AM44" s="292"/>
      <c r="AN44" s="292"/>
      <c r="AO44" s="292"/>
      <c r="AP44" s="292"/>
      <c r="AQ44" s="292"/>
      <c r="AR44" s="292"/>
      <c r="AS44" s="292"/>
    </row>
    <row r="45" spans="2:45" x14ac:dyDescent="0.2"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  <c r="AA45" s="292"/>
      <c r="AB45" s="292"/>
      <c r="AC45" s="292"/>
      <c r="AD45" s="292"/>
      <c r="AE45" s="292"/>
      <c r="AF45" s="292"/>
      <c r="AG45" s="292"/>
      <c r="AH45" s="292"/>
      <c r="AI45" s="292"/>
      <c r="AJ45" s="292"/>
      <c r="AK45" s="292"/>
      <c r="AL45" s="292"/>
      <c r="AM45" s="292"/>
      <c r="AN45" s="292"/>
      <c r="AO45" s="292"/>
      <c r="AP45" s="292"/>
      <c r="AQ45" s="292"/>
      <c r="AR45" s="292"/>
      <c r="AS45" s="292"/>
    </row>
    <row r="46" spans="2:45" x14ac:dyDescent="0.2"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  <c r="Z46" s="292"/>
      <c r="AA46" s="292"/>
      <c r="AB46" s="292"/>
      <c r="AC46" s="292"/>
      <c r="AD46" s="292"/>
      <c r="AE46" s="292"/>
      <c r="AF46" s="292"/>
      <c r="AG46" s="292"/>
      <c r="AH46" s="292"/>
      <c r="AI46" s="292"/>
      <c r="AJ46" s="292"/>
      <c r="AK46" s="292"/>
      <c r="AL46" s="292"/>
      <c r="AM46" s="292"/>
      <c r="AN46" s="292"/>
      <c r="AO46" s="292"/>
      <c r="AP46" s="292"/>
      <c r="AQ46" s="292"/>
      <c r="AR46" s="292"/>
      <c r="AS46" s="292"/>
    </row>
    <row r="47" spans="2:45" x14ac:dyDescent="0.2">
      <c r="B47" s="292" t="s">
        <v>122</v>
      </c>
      <c r="C47" s="292"/>
      <c r="D47" s="292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292"/>
      <c r="Q47" s="292"/>
      <c r="R47" s="292"/>
      <c r="S47" s="292"/>
      <c r="T47" s="292"/>
      <c r="U47" s="292"/>
      <c r="V47" s="292"/>
      <c r="W47" s="292"/>
      <c r="X47" s="292"/>
      <c r="Y47" s="292"/>
      <c r="Z47" s="292"/>
      <c r="AA47" s="292"/>
      <c r="AB47" s="292"/>
      <c r="AC47" s="292"/>
      <c r="AD47" s="292"/>
      <c r="AE47" s="292"/>
      <c r="AF47" s="292"/>
      <c r="AG47" s="292"/>
      <c r="AH47" s="292"/>
      <c r="AI47" s="292"/>
      <c r="AJ47" s="292"/>
      <c r="AK47" s="292"/>
      <c r="AL47" s="292"/>
      <c r="AM47" s="292"/>
      <c r="AN47" s="292"/>
      <c r="AO47" s="292"/>
      <c r="AP47" s="292"/>
      <c r="AQ47" s="292"/>
      <c r="AR47" s="292"/>
      <c r="AS47" s="292"/>
    </row>
    <row r="50" spans="2:45" ht="101" x14ac:dyDescent="0.2">
      <c r="B50" s="300" t="s">
        <v>344</v>
      </c>
      <c r="C50" s="293" t="s">
        <v>294</v>
      </c>
      <c r="D50" s="293" t="s">
        <v>295</v>
      </c>
      <c r="E50" s="293" t="s">
        <v>296</v>
      </c>
      <c r="F50" s="293" t="s">
        <v>297</v>
      </c>
      <c r="G50" s="294" t="s">
        <v>298</v>
      </c>
      <c r="H50" s="294" t="s">
        <v>299</v>
      </c>
      <c r="I50" s="294" t="s">
        <v>300</v>
      </c>
      <c r="J50" s="294" t="s">
        <v>301</v>
      </c>
      <c r="K50" s="294" t="s">
        <v>302</v>
      </c>
      <c r="L50" s="294" t="s">
        <v>303</v>
      </c>
      <c r="M50" s="295" t="s">
        <v>304</v>
      </c>
      <c r="N50" s="295" t="s">
        <v>305</v>
      </c>
      <c r="O50" s="295" t="s">
        <v>306</v>
      </c>
      <c r="P50" s="295" t="s">
        <v>307</v>
      </c>
      <c r="Q50" s="295" t="s">
        <v>308</v>
      </c>
      <c r="R50" s="295" t="s">
        <v>309</v>
      </c>
      <c r="S50" s="295" t="s">
        <v>310</v>
      </c>
      <c r="T50" s="295" t="s">
        <v>311</v>
      </c>
      <c r="U50" s="295" t="s">
        <v>312</v>
      </c>
      <c r="V50" s="296" t="s">
        <v>313</v>
      </c>
      <c r="W50" s="296" t="s">
        <v>314</v>
      </c>
      <c r="X50" s="296" t="s">
        <v>315</v>
      </c>
      <c r="Y50" s="296" t="s">
        <v>316</v>
      </c>
      <c r="Z50" s="296" t="s">
        <v>317</v>
      </c>
      <c r="AA50" s="296" t="s">
        <v>318</v>
      </c>
      <c r="AB50" s="296" t="s">
        <v>319</v>
      </c>
      <c r="AC50" s="296" t="s">
        <v>320</v>
      </c>
      <c r="AD50" s="296" t="s">
        <v>321</v>
      </c>
      <c r="AE50" s="297" t="s">
        <v>322</v>
      </c>
      <c r="AF50" s="297" t="s">
        <v>323</v>
      </c>
      <c r="AG50" s="297" t="s">
        <v>324</v>
      </c>
      <c r="AH50" s="297" t="s">
        <v>325</v>
      </c>
      <c r="AI50" s="297" t="s">
        <v>326</v>
      </c>
      <c r="AJ50" s="297" t="s">
        <v>327</v>
      </c>
      <c r="AK50" s="297" t="s">
        <v>328</v>
      </c>
      <c r="AL50" s="297" t="s">
        <v>329</v>
      </c>
      <c r="AM50" s="297" t="s">
        <v>330</v>
      </c>
      <c r="AN50" s="298" t="s">
        <v>331</v>
      </c>
      <c r="AO50" s="298" t="s">
        <v>332</v>
      </c>
      <c r="AP50" s="298" t="s">
        <v>333</v>
      </c>
      <c r="AQ50" s="298" t="s">
        <v>334</v>
      </c>
      <c r="AR50" s="298" t="s">
        <v>335</v>
      </c>
      <c r="AS50" s="298" t="s">
        <v>336</v>
      </c>
    </row>
    <row r="51" spans="2:45" x14ac:dyDescent="0.2">
      <c r="B51" s="292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92"/>
      <c r="AB51" s="292"/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</row>
    <row r="52" spans="2:45" x14ac:dyDescent="0.2">
      <c r="B52" s="292"/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  <c r="Z52" s="292"/>
      <c r="AA52" s="292"/>
      <c r="AB52" s="292"/>
      <c r="AC52" s="292"/>
      <c r="AD52" s="292"/>
      <c r="AE52" s="292"/>
      <c r="AF52" s="292"/>
      <c r="AG52" s="292"/>
      <c r="AH52" s="292"/>
      <c r="AI52" s="292"/>
      <c r="AJ52" s="292"/>
      <c r="AK52" s="292"/>
      <c r="AL52" s="292"/>
      <c r="AM52" s="292"/>
      <c r="AN52" s="292"/>
      <c r="AO52" s="292"/>
      <c r="AP52" s="292"/>
      <c r="AQ52" s="292"/>
      <c r="AR52" s="292"/>
      <c r="AS52" s="292"/>
    </row>
    <row r="53" spans="2:45" x14ac:dyDescent="0.2">
      <c r="B53" s="292"/>
      <c r="C53" s="292"/>
      <c r="D53" s="292"/>
      <c r="E53" s="292"/>
      <c r="F53" s="292"/>
      <c r="G53" s="292"/>
      <c r="H53" s="292"/>
      <c r="I53" s="292"/>
      <c r="J53" s="292"/>
      <c r="K53" s="292"/>
      <c r="L53" s="292"/>
      <c r="M53" s="292"/>
      <c r="N53" s="292"/>
      <c r="O53" s="292"/>
      <c r="P53" s="292"/>
      <c r="Q53" s="292"/>
      <c r="R53" s="292"/>
      <c r="S53" s="292"/>
      <c r="T53" s="292"/>
      <c r="U53" s="292"/>
      <c r="V53" s="292"/>
      <c r="W53" s="292"/>
      <c r="X53" s="292"/>
      <c r="Y53" s="292"/>
      <c r="Z53" s="292"/>
      <c r="AA53" s="292"/>
      <c r="AB53" s="292"/>
      <c r="AC53" s="292"/>
      <c r="AD53" s="292"/>
      <c r="AE53" s="292"/>
      <c r="AF53" s="292"/>
      <c r="AG53" s="292"/>
      <c r="AH53" s="292"/>
      <c r="AI53" s="292"/>
      <c r="AJ53" s="292"/>
      <c r="AK53" s="292"/>
      <c r="AL53" s="292"/>
      <c r="AM53" s="292"/>
      <c r="AN53" s="292"/>
      <c r="AO53" s="292"/>
      <c r="AP53" s="292"/>
      <c r="AQ53" s="292"/>
      <c r="AR53" s="292"/>
      <c r="AS53" s="292"/>
    </row>
    <row r="54" spans="2:45" x14ac:dyDescent="0.2">
      <c r="B54" s="292"/>
      <c r="C54" s="292"/>
      <c r="D54" s="292"/>
      <c r="E54" s="292"/>
      <c r="F54" s="292"/>
      <c r="G54" s="292"/>
      <c r="H54" s="292"/>
      <c r="I54" s="292"/>
      <c r="J54" s="292"/>
      <c r="K54" s="292"/>
      <c r="L54" s="292"/>
      <c r="M54" s="292"/>
      <c r="N54" s="292"/>
      <c r="O54" s="292"/>
      <c r="P54" s="292"/>
      <c r="Q54" s="292"/>
      <c r="R54" s="292"/>
      <c r="S54" s="292"/>
      <c r="T54" s="292"/>
      <c r="U54" s="292"/>
      <c r="V54" s="292"/>
      <c r="W54" s="292"/>
      <c r="X54" s="292"/>
      <c r="Y54" s="292"/>
      <c r="Z54" s="292"/>
      <c r="AA54" s="292"/>
      <c r="AB54" s="292"/>
      <c r="AC54" s="292"/>
      <c r="AD54" s="292"/>
      <c r="AE54" s="292"/>
      <c r="AF54" s="292"/>
      <c r="AG54" s="292"/>
      <c r="AH54" s="292"/>
      <c r="AI54" s="292"/>
      <c r="AJ54" s="292"/>
      <c r="AK54" s="292"/>
      <c r="AL54" s="292"/>
      <c r="AM54" s="292"/>
      <c r="AN54" s="292"/>
      <c r="AO54" s="292"/>
      <c r="AP54" s="292"/>
      <c r="AQ54" s="292"/>
      <c r="AR54" s="292"/>
      <c r="AS54" s="292"/>
    </row>
    <row r="55" spans="2:45" x14ac:dyDescent="0.2">
      <c r="B55" s="292" t="s">
        <v>122</v>
      </c>
      <c r="C55" s="292"/>
      <c r="D55" s="292"/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292"/>
      <c r="R55" s="292"/>
      <c r="S55" s="292"/>
      <c r="T55" s="292"/>
      <c r="U55" s="292"/>
      <c r="V55" s="292"/>
      <c r="W55" s="292"/>
      <c r="X55" s="292"/>
      <c r="Y55" s="292"/>
      <c r="Z55" s="292"/>
      <c r="AA55" s="292"/>
      <c r="AB55" s="292"/>
      <c r="AC55" s="292"/>
      <c r="AD55" s="292"/>
      <c r="AE55" s="292"/>
      <c r="AF55" s="292"/>
      <c r="AG55" s="292"/>
      <c r="AH55" s="292"/>
      <c r="AI55" s="292"/>
      <c r="AJ55" s="292"/>
      <c r="AK55" s="292"/>
      <c r="AL55" s="292"/>
      <c r="AM55" s="292"/>
      <c r="AN55" s="292"/>
      <c r="AO55" s="292"/>
      <c r="AP55" s="292"/>
      <c r="AQ55" s="292"/>
      <c r="AR55" s="292"/>
      <c r="AS55" s="292"/>
    </row>
    <row r="58" spans="2:45" ht="101" x14ac:dyDescent="0.2">
      <c r="B58" s="300" t="s">
        <v>345</v>
      </c>
      <c r="C58" s="293" t="s">
        <v>294</v>
      </c>
      <c r="D58" s="293" t="s">
        <v>295</v>
      </c>
      <c r="E58" s="293" t="s">
        <v>296</v>
      </c>
      <c r="F58" s="293" t="s">
        <v>297</v>
      </c>
      <c r="G58" s="294" t="s">
        <v>298</v>
      </c>
      <c r="H58" s="294" t="s">
        <v>299</v>
      </c>
      <c r="I58" s="294" t="s">
        <v>300</v>
      </c>
      <c r="J58" s="294" t="s">
        <v>301</v>
      </c>
      <c r="K58" s="294" t="s">
        <v>302</v>
      </c>
      <c r="L58" s="294" t="s">
        <v>303</v>
      </c>
      <c r="M58" s="295" t="s">
        <v>304</v>
      </c>
      <c r="N58" s="295" t="s">
        <v>305</v>
      </c>
      <c r="O58" s="295" t="s">
        <v>306</v>
      </c>
      <c r="P58" s="295" t="s">
        <v>307</v>
      </c>
      <c r="Q58" s="295" t="s">
        <v>308</v>
      </c>
      <c r="R58" s="295" t="s">
        <v>309</v>
      </c>
      <c r="S58" s="295" t="s">
        <v>310</v>
      </c>
      <c r="T58" s="295" t="s">
        <v>311</v>
      </c>
      <c r="U58" s="295" t="s">
        <v>312</v>
      </c>
      <c r="V58" s="296" t="s">
        <v>313</v>
      </c>
      <c r="W58" s="296" t="s">
        <v>314</v>
      </c>
      <c r="X58" s="296" t="s">
        <v>315</v>
      </c>
      <c r="Y58" s="296" t="s">
        <v>316</v>
      </c>
      <c r="Z58" s="296" t="s">
        <v>317</v>
      </c>
      <c r="AA58" s="296" t="s">
        <v>318</v>
      </c>
      <c r="AB58" s="296" t="s">
        <v>319</v>
      </c>
      <c r="AC58" s="296" t="s">
        <v>320</v>
      </c>
      <c r="AD58" s="296" t="s">
        <v>321</v>
      </c>
      <c r="AE58" s="297" t="s">
        <v>322</v>
      </c>
      <c r="AF58" s="297" t="s">
        <v>323</v>
      </c>
      <c r="AG58" s="297" t="s">
        <v>324</v>
      </c>
      <c r="AH58" s="297" t="s">
        <v>325</v>
      </c>
      <c r="AI58" s="297" t="s">
        <v>326</v>
      </c>
      <c r="AJ58" s="297" t="s">
        <v>327</v>
      </c>
      <c r="AK58" s="297" t="s">
        <v>328</v>
      </c>
      <c r="AL58" s="297" t="s">
        <v>329</v>
      </c>
      <c r="AM58" s="297" t="s">
        <v>330</v>
      </c>
      <c r="AN58" s="298" t="s">
        <v>331</v>
      </c>
      <c r="AO58" s="298" t="s">
        <v>332</v>
      </c>
      <c r="AP58" s="298" t="s">
        <v>333</v>
      </c>
      <c r="AQ58" s="298" t="s">
        <v>334</v>
      </c>
      <c r="AR58" s="298" t="s">
        <v>335</v>
      </c>
      <c r="AS58" s="298" t="s">
        <v>336</v>
      </c>
    </row>
    <row r="59" spans="2:45" x14ac:dyDescent="0.2">
      <c r="B59" s="292"/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92"/>
      <c r="P59" s="292"/>
      <c r="Q59" s="292"/>
      <c r="R59" s="292"/>
      <c r="S59" s="292"/>
      <c r="T59" s="292"/>
      <c r="U59" s="292"/>
      <c r="V59" s="292"/>
      <c r="W59" s="292"/>
      <c r="X59" s="292"/>
      <c r="Y59" s="292"/>
      <c r="Z59" s="292"/>
      <c r="AA59" s="292"/>
      <c r="AB59" s="292"/>
      <c r="AC59" s="292"/>
      <c r="AD59" s="292"/>
      <c r="AE59" s="292"/>
      <c r="AF59" s="292"/>
      <c r="AG59" s="292"/>
      <c r="AH59" s="292"/>
      <c r="AI59" s="292"/>
      <c r="AJ59" s="292"/>
      <c r="AK59" s="292"/>
      <c r="AL59" s="292"/>
      <c r="AM59" s="292"/>
      <c r="AN59" s="292"/>
      <c r="AO59" s="292"/>
      <c r="AP59" s="292"/>
      <c r="AQ59" s="292"/>
      <c r="AR59" s="292"/>
      <c r="AS59" s="292"/>
    </row>
    <row r="60" spans="2:45" x14ac:dyDescent="0.2">
      <c r="B60" s="292"/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  <c r="Z60" s="292"/>
      <c r="AA60" s="292"/>
      <c r="AB60" s="292"/>
      <c r="AC60" s="292"/>
      <c r="AD60" s="292"/>
      <c r="AE60" s="292"/>
      <c r="AF60" s="292"/>
      <c r="AG60" s="292"/>
      <c r="AH60" s="292"/>
      <c r="AI60" s="292"/>
      <c r="AJ60" s="292"/>
      <c r="AK60" s="292"/>
      <c r="AL60" s="292"/>
      <c r="AM60" s="292"/>
      <c r="AN60" s="292"/>
      <c r="AO60" s="292"/>
      <c r="AP60" s="292"/>
      <c r="AQ60" s="292"/>
      <c r="AR60" s="292"/>
      <c r="AS60" s="292"/>
    </row>
    <row r="61" spans="2:45" x14ac:dyDescent="0.2">
      <c r="B61" s="292"/>
      <c r="C61" s="292"/>
      <c r="D61" s="292"/>
      <c r="E61" s="292"/>
      <c r="F61" s="292"/>
      <c r="G61" s="292"/>
      <c r="H61" s="292"/>
      <c r="I61" s="292"/>
      <c r="J61" s="292"/>
      <c r="K61" s="292"/>
      <c r="L61" s="292"/>
      <c r="M61" s="292"/>
      <c r="N61" s="292"/>
      <c r="O61" s="292"/>
      <c r="P61" s="292"/>
      <c r="Q61" s="292"/>
      <c r="R61" s="292"/>
      <c r="S61" s="292"/>
      <c r="T61" s="292"/>
      <c r="U61" s="292"/>
      <c r="V61" s="292"/>
      <c r="W61" s="292"/>
      <c r="X61" s="292"/>
      <c r="Y61" s="292"/>
      <c r="Z61" s="292"/>
      <c r="AA61" s="292"/>
      <c r="AB61" s="292"/>
      <c r="AC61" s="292"/>
      <c r="AD61" s="292"/>
      <c r="AE61" s="292"/>
      <c r="AF61" s="292"/>
      <c r="AG61" s="292"/>
      <c r="AH61" s="292"/>
      <c r="AI61" s="292"/>
      <c r="AJ61" s="292"/>
      <c r="AK61" s="292"/>
      <c r="AL61" s="292"/>
      <c r="AM61" s="292"/>
      <c r="AN61" s="292"/>
      <c r="AO61" s="292"/>
      <c r="AP61" s="292"/>
      <c r="AQ61" s="292"/>
      <c r="AR61" s="292"/>
      <c r="AS61" s="292"/>
    </row>
    <row r="62" spans="2:45" x14ac:dyDescent="0.2"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2"/>
      <c r="P62" s="292"/>
      <c r="Q62" s="292"/>
      <c r="R62" s="292"/>
      <c r="S62" s="292"/>
      <c r="T62" s="292"/>
      <c r="U62" s="292"/>
      <c r="V62" s="292"/>
      <c r="W62" s="292"/>
      <c r="X62" s="292"/>
      <c r="Y62" s="292"/>
      <c r="Z62" s="292"/>
      <c r="AA62" s="292"/>
      <c r="AB62" s="292"/>
      <c r="AC62" s="292"/>
      <c r="AD62" s="292"/>
      <c r="AE62" s="292"/>
      <c r="AF62" s="292"/>
      <c r="AG62" s="292"/>
      <c r="AH62" s="292"/>
      <c r="AI62" s="292"/>
      <c r="AJ62" s="292"/>
      <c r="AK62" s="292"/>
      <c r="AL62" s="292"/>
      <c r="AM62" s="292"/>
      <c r="AN62" s="292"/>
      <c r="AO62" s="292"/>
      <c r="AP62" s="292"/>
      <c r="AQ62" s="292"/>
      <c r="AR62" s="292"/>
      <c r="AS62" s="292"/>
    </row>
    <row r="63" spans="2:45" x14ac:dyDescent="0.2">
      <c r="B63" s="292" t="s">
        <v>122</v>
      </c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2"/>
      <c r="P63" s="292"/>
      <c r="Q63" s="292"/>
      <c r="R63" s="292"/>
      <c r="S63" s="292"/>
      <c r="T63" s="292"/>
      <c r="U63" s="292"/>
      <c r="V63" s="292"/>
      <c r="W63" s="292"/>
      <c r="X63" s="292"/>
      <c r="Y63" s="292"/>
      <c r="Z63" s="292"/>
      <c r="AA63" s="292"/>
      <c r="AB63" s="292"/>
      <c r="AC63" s="292"/>
      <c r="AD63" s="292"/>
      <c r="AE63" s="292"/>
      <c r="AF63" s="292"/>
      <c r="AG63" s="292"/>
      <c r="AH63" s="292"/>
      <c r="AI63" s="292"/>
      <c r="AJ63" s="292"/>
      <c r="AK63" s="292"/>
      <c r="AL63" s="292"/>
      <c r="AM63" s="292"/>
      <c r="AN63" s="292"/>
      <c r="AO63" s="292"/>
      <c r="AP63" s="292"/>
      <c r="AQ63" s="292"/>
      <c r="AR63" s="292"/>
      <c r="AS63" s="292"/>
    </row>
    <row r="66" spans="2:45" ht="101" x14ac:dyDescent="0.2">
      <c r="B66" s="300" t="s">
        <v>348</v>
      </c>
      <c r="C66" s="293" t="s">
        <v>294</v>
      </c>
      <c r="D66" s="293" t="s">
        <v>295</v>
      </c>
      <c r="E66" s="293" t="s">
        <v>296</v>
      </c>
      <c r="F66" s="293" t="s">
        <v>297</v>
      </c>
      <c r="G66" s="294" t="s">
        <v>298</v>
      </c>
      <c r="H66" s="294" t="s">
        <v>299</v>
      </c>
      <c r="I66" s="294" t="s">
        <v>300</v>
      </c>
      <c r="J66" s="294" t="s">
        <v>301</v>
      </c>
      <c r="K66" s="294" t="s">
        <v>302</v>
      </c>
      <c r="L66" s="294" t="s">
        <v>303</v>
      </c>
      <c r="M66" s="295" t="s">
        <v>304</v>
      </c>
      <c r="N66" s="295" t="s">
        <v>305</v>
      </c>
      <c r="O66" s="295" t="s">
        <v>306</v>
      </c>
      <c r="P66" s="295" t="s">
        <v>307</v>
      </c>
      <c r="Q66" s="295" t="s">
        <v>308</v>
      </c>
      <c r="R66" s="295" t="s">
        <v>309</v>
      </c>
      <c r="S66" s="295" t="s">
        <v>310</v>
      </c>
      <c r="T66" s="295" t="s">
        <v>311</v>
      </c>
      <c r="U66" s="295" t="s">
        <v>312</v>
      </c>
      <c r="V66" s="296" t="s">
        <v>313</v>
      </c>
      <c r="W66" s="296" t="s">
        <v>314</v>
      </c>
      <c r="X66" s="296" t="s">
        <v>315</v>
      </c>
      <c r="Y66" s="296" t="s">
        <v>316</v>
      </c>
      <c r="Z66" s="296" t="s">
        <v>317</v>
      </c>
      <c r="AA66" s="296" t="s">
        <v>318</v>
      </c>
      <c r="AB66" s="296" t="s">
        <v>319</v>
      </c>
      <c r="AC66" s="296" t="s">
        <v>320</v>
      </c>
      <c r="AD66" s="296" t="s">
        <v>321</v>
      </c>
      <c r="AE66" s="297" t="s">
        <v>322</v>
      </c>
      <c r="AF66" s="297" t="s">
        <v>323</v>
      </c>
      <c r="AG66" s="297" t="s">
        <v>324</v>
      </c>
      <c r="AH66" s="297" t="s">
        <v>325</v>
      </c>
      <c r="AI66" s="297" t="s">
        <v>326</v>
      </c>
      <c r="AJ66" s="297" t="s">
        <v>327</v>
      </c>
      <c r="AK66" s="297" t="s">
        <v>328</v>
      </c>
      <c r="AL66" s="297" t="s">
        <v>329</v>
      </c>
      <c r="AM66" s="297" t="s">
        <v>330</v>
      </c>
      <c r="AN66" s="298" t="s">
        <v>331</v>
      </c>
      <c r="AO66" s="298" t="s">
        <v>332</v>
      </c>
      <c r="AP66" s="298" t="s">
        <v>333</v>
      </c>
      <c r="AQ66" s="298" t="s">
        <v>334</v>
      </c>
      <c r="AR66" s="298" t="s">
        <v>335</v>
      </c>
      <c r="AS66" s="298" t="s">
        <v>336</v>
      </c>
    </row>
    <row r="67" spans="2:45" x14ac:dyDescent="0.2"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2"/>
      <c r="R67" s="292"/>
      <c r="S67" s="292"/>
      <c r="T67" s="292"/>
      <c r="U67" s="292"/>
      <c r="V67" s="292"/>
      <c r="W67" s="292"/>
      <c r="X67" s="292"/>
      <c r="Y67" s="292"/>
      <c r="Z67" s="292"/>
      <c r="AA67" s="292"/>
      <c r="AB67" s="292"/>
      <c r="AC67" s="292"/>
      <c r="AD67" s="292"/>
      <c r="AE67" s="292"/>
      <c r="AF67" s="292"/>
      <c r="AG67" s="292"/>
      <c r="AH67" s="292"/>
      <c r="AI67" s="292"/>
      <c r="AJ67" s="292"/>
      <c r="AK67" s="292"/>
      <c r="AL67" s="292"/>
      <c r="AM67" s="292"/>
      <c r="AN67" s="292"/>
      <c r="AO67" s="292"/>
      <c r="AP67" s="292"/>
      <c r="AQ67" s="292"/>
      <c r="AR67" s="292"/>
      <c r="AS67" s="292"/>
    </row>
    <row r="68" spans="2:45" x14ac:dyDescent="0.2"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292"/>
      <c r="R68" s="292"/>
      <c r="S68" s="292"/>
      <c r="T68" s="292"/>
      <c r="U68" s="292"/>
      <c r="V68" s="292"/>
      <c r="W68" s="292"/>
      <c r="X68" s="292"/>
      <c r="Y68" s="292"/>
      <c r="Z68" s="292"/>
      <c r="AA68" s="292"/>
      <c r="AB68" s="292"/>
      <c r="AC68" s="292"/>
      <c r="AD68" s="292"/>
      <c r="AE68" s="292"/>
      <c r="AF68" s="292"/>
      <c r="AG68" s="292"/>
      <c r="AH68" s="292"/>
      <c r="AI68" s="292"/>
      <c r="AJ68" s="292"/>
      <c r="AK68" s="292"/>
      <c r="AL68" s="292"/>
      <c r="AM68" s="292"/>
      <c r="AN68" s="292"/>
      <c r="AO68" s="292"/>
      <c r="AP68" s="292"/>
      <c r="AQ68" s="292"/>
      <c r="AR68" s="292"/>
      <c r="AS68" s="292"/>
    </row>
    <row r="69" spans="2:45" x14ac:dyDescent="0.2">
      <c r="B69" s="292"/>
      <c r="C69" s="292"/>
      <c r="D69" s="292"/>
      <c r="E69" s="292"/>
      <c r="F69" s="292"/>
      <c r="G69" s="292"/>
      <c r="H69" s="292"/>
      <c r="I69" s="292"/>
      <c r="J69" s="292"/>
      <c r="K69" s="292"/>
      <c r="L69" s="292"/>
      <c r="M69" s="292"/>
      <c r="N69" s="292"/>
      <c r="O69" s="292"/>
      <c r="P69" s="292"/>
      <c r="Q69" s="292"/>
      <c r="R69" s="292"/>
      <c r="S69" s="292"/>
      <c r="T69" s="292"/>
      <c r="U69" s="292"/>
      <c r="V69" s="292"/>
      <c r="W69" s="292"/>
      <c r="X69" s="292"/>
      <c r="Y69" s="292"/>
      <c r="Z69" s="292"/>
      <c r="AA69" s="292"/>
      <c r="AB69" s="292"/>
      <c r="AC69" s="292"/>
      <c r="AD69" s="292"/>
      <c r="AE69" s="292"/>
      <c r="AF69" s="292"/>
      <c r="AG69" s="292"/>
      <c r="AH69" s="292"/>
      <c r="AI69" s="292"/>
      <c r="AJ69" s="292"/>
      <c r="AK69" s="292"/>
      <c r="AL69" s="292"/>
      <c r="AM69" s="292"/>
      <c r="AN69" s="292"/>
      <c r="AO69" s="292"/>
      <c r="AP69" s="292"/>
      <c r="AQ69" s="292"/>
      <c r="AR69" s="292"/>
      <c r="AS69" s="292"/>
    </row>
    <row r="70" spans="2:45" x14ac:dyDescent="0.2"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2"/>
      <c r="Q70" s="292"/>
      <c r="R70" s="292"/>
      <c r="S70" s="292"/>
      <c r="T70" s="292"/>
      <c r="U70" s="292"/>
      <c r="V70" s="292"/>
      <c r="W70" s="292"/>
      <c r="X70" s="292"/>
      <c r="Y70" s="292"/>
      <c r="Z70" s="292"/>
      <c r="AA70" s="292"/>
      <c r="AB70" s="292"/>
      <c r="AC70" s="292"/>
      <c r="AD70" s="292"/>
      <c r="AE70" s="292"/>
      <c r="AF70" s="292"/>
      <c r="AG70" s="292"/>
      <c r="AH70" s="292"/>
      <c r="AI70" s="292"/>
      <c r="AJ70" s="292"/>
      <c r="AK70" s="292"/>
      <c r="AL70" s="292"/>
      <c r="AM70" s="292"/>
      <c r="AN70" s="292"/>
      <c r="AO70" s="292"/>
      <c r="AP70" s="292"/>
      <c r="AQ70" s="292"/>
      <c r="AR70" s="292"/>
      <c r="AS70" s="292"/>
    </row>
    <row r="71" spans="2:45" x14ac:dyDescent="0.2">
      <c r="B71" s="292" t="s">
        <v>122</v>
      </c>
      <c r="C71" s="292"/>
      <c r="D71" s="292"/>
      <c r="E71" s="292"/>
      <c r="F71" s="292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92"/>
      <c r="R71" s="292"/>
      <c r="S71" s="292"/>
      <c r="T71" s="292"/>
      <c r="U71" s="292"/>
      <c r="V71" s="292"/>
      <c r="W71" s="292"/>
      <c r="X71" s="292"/>
      <c r="Y71" s="292"/>
      <c r="Z71" s="292"/>
      <c r="AA71" s="292"/>
      <c r="AB71" s="292"/>
      <c r="AC71" s="292"/>
      <c r="AD71" s="292"/>
      <c r="AE71" s="292"/>
      <c r="AF71" s="292"/>
      <c r="AG71" s="292"/>
      <c r="AH71" s="292"/>
      <c r="AI71" s="292"/>
      <c r="AJ71" s="292"/>
      <c r="AK71" s="292"/>
      <c r="AL71" s="292"/>
      <c r="AM71" s="292"/>
      <c r="AN71" s="292"/>
      <c r="AO71" s="292"/>
      <c r="AP71" s="292"/>
      <c r="AQ71" s="292"/>
      <c r="AR71" s="292"/>
      <c r="AS71" s="292"/>
    </row>
    <row r="74" spans="2:45" ht="101" x14ac:dyDescent="0.2">
      <c r="B74" s="300" t="s">
        <v>349</v>
      </c>
      <c r="C74" s="293" t="s">
        <v>294</v>
      </c>
      <c r="D74" s="293" t="s">
        <v>295</v>
      </c>
      <c r="E74" s="293" t="s">
        <v>296</v>
      </c>
      <c r="F74" s="293" t="s">
        <v>297</v>
      </c>
      <c r="G74" s="294" t="s">
        <v>298</v>
      </c>
      <c r="H74" s="294" t="s">
        <v>299</v>
      </c>
      <c r="I74" s="294" t="s">
        <v>300</v>
      </c>
      <c r="J74" s="294" t="s">
        <v>301</v>
      </c>
      <c r="K74" s="294" t="s">
        <v>302</v>
      </c>
      <c r="L74" s="294" t="s">
        <v>303</v>
      </c>
      <c r="M74" s="295" t="s">
        <v>304</v>
      </c>
      <c r="N74" s="295" t="s">
        <v>305</v>
      </c>
      <c r="O74" s="295" t="s">
        <v>306</v>
      </c>
      <c r="P74" s="295" t="s">
        <v>307</v>
      </c>
      <c r="Q74" s="295" t="s">
        <v>308</v>
      </c>
      <c r="R74" s="295" t="s">
        <v>309</v>
      </c>
      <c r="S74" s="295" t="s">
        <v>310</v>
      </c>
      <c r="T74" s="295" t="s">
        <v>311</v>
      </c>
      <c r="U74" s="295" t="s">
        <v>312</v>
      </c>
      <c r="V74" s="296" t="s">
        <v>313</v>
      </c>
      <c r="W74" s="296" t="s">
        <v>314</v>
      </c>
      <c r="X74" s="296" t="s">
        <v>315</v>
      </c>
      <c r="Y74" s="296" t="s">
        <v>316</v>
      </c>
      <c r="Z74" s="296" t="s">
        <v>317</v>
      </c>
      <c r="AA74" s="296" t="s">
        <v>318</v>
      </c>
      <c r="AB74" s="296" t="s">
        <v>319</v>
      </c>
      <c r="AC74" s="296" t="s">
        <v>320</v>
      </c>
      <c r="AD74" s="296" t="s">
        <v>321</v>
      </c>
      <c r="AE74" s="297" t="s">
        <v>322</v>
      </c>
      <c r="AF74" s="297" t="s">
        <v>323</v>
      </c>
      <c r="AG74" s="297" t="s">
        <v>324</v>
      </c>
      <c r="AH74" s="297" t="s">
        <v>325</v>
      </c>
      <c r="AI74" s="297" t="s">
        <v>326</v>
      </c>
      <c r="AJ74" s="297" t="s">
        <v>327</v>
      </c>
      <c r="AK74" s="297" t="s">
        <v>328</v>
      </c>
      <c r="AL74" s="297" t="s">
        <v>329</v>
      </c>
      <c r="AM74" s="297" t="s">
        <v>330</v>
      </c>
      <c r="AN74" s="298" t="s">
        <v>331</v>
      </c>
      <c r="AO74" s="298" t="s">
        <v>332</v>
      </c>
      <c r="AP74" s="298" t="s">
        <v>333</v>
      </c>
      <c r="AQ74" s="298" t="s">
        <v>334</v>
      </c>
      <c r="AR74" s="298" t="s">
        <v>335</v>
      </c>
      <c r="AS74" s="298" t="s">
        <v>336</v>
      </c>
    </row>
    <row r="75" spans="2:45" x14ac:dyDescent="0.2">
      <c r="B75" s="292"/>
      <c r="C75" s="292"/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92"/>
      <c r="AB75" s="292"/>
      <c r="AC75" s="292"/>
      <c r="AD75" s="292"/>
      <c r="AE75" s="292"/>
      <c r="AF75" s="292"/>
      <c r="AG75" s="292"/>
      <c r="AH75" s="292"/>
      <c r="AI75" s="292"/>
      <c r="AJ75" s="292"/>
      <c r="AK75" s="292"/>
      <c r="AL75" s="292"/>
      <c r="AM75" s="292"/>
      <c r="AN75" s="292"/>
      <c r="AO75" s="292"/>
      <c r="AP75" s="292"/>
      <c r="AQ75" s="292"/>
      <c r="AR75" s="292"/>
      <c r="AS75" s="292"/>
    </row>
    <row r="76" spans="2:45" x14ac:dyDescent="0.2"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292"/>
      <c r="T76" s="292"/>
      <c r="U76" s="292"/>
      <c r="V76" s="292"/>
      <c r="W76" s="292"/>
      <c r="X76" s="292"/>
      <c r="Y76" s="292"/>
      <c r="Z76" s="292"/>
      <c r="AA76" s="292"/>
      <c r="AB76" s="292"/>
      <c r="AC76" s="292"/>
      <c r="AD76" s="292"/>
      <c r="AE76" s="292"/>
      <c r="AF76" s="292"/>
      <c r="AG76" s="292"/>
      <c r="AH76" s="292"/>
      <c r="AI76" s="292"/>
      <c r="AJ76" s="292"/>
      <c r="AK76" s="292"/>
      <c r="AL76" s="292"/>
      <c r="AM76" s="292"/>
      <c r="AN76" s="292"/>
      <c r="AO76" s="292"/>
      <c r="AP76" s="292"/>
      <c r="AQ76" s="292"/>
      <c r="AR76" s="292"/>
      <c r="AS76" s="292"/>
    </row>
    <row r="77" spans="2:45" x14ac:dyDescent="0.2">
      <c r="B77" s="292"/>
      <c r="C77" s="292"/>
      <c r="D77" s="292"/>
      <c r="E77" s="292"/>
      <c r="F77" s="292"/>
      <c r="G77" s="292"/>
      <c r="H77" s="292"/>
      <c r="I77" s="292"/>
      <c r="J77" s="292"/>
      <c r="K77" s="292"/>
      <c r="L77" s="292"/>
      <c r="M77" s="292"/>
      <c r="N77" s="292"/>
      <c r="O77" s="292"/>
      <c r="P77" s="292"/>
      <c r="Q77" s="292"/>
      <c r="R77" s="292"/>
      <c r="S77" s="292"/>
      <c r="T77" s="292"/>
      <c r="U77" s="292"/>
      <c r="V77" s="292"/>
      <c r="W77" s="292"/>
      <c r="X77" s="292"/>
      <c r="Y77" s="292"/>
      <c r="Z77" s="292"/>
      <c r="AA77" s="292"/>
      <c r="AB77" s="292"/>
      <c r="AC77" s="292"/>
      <c r="AD77" s="292"/>
      <c r="AE77" s="292"/>
      <c r="AF77" s="292"/>
      <c r="AG77" s="292"/>
      <c r="AH77" s="292"/>
      <c r="AI77" s="292"/>
      <c r="AJ77" s="292"/>
      <c r="AK77" s="292"/>
      <c r="AL77" s="292"/>
      <c r="AM77" s="292"/>
      <c r="AN77" s="292"/>
      <c r="AO77" s="292"/>
      <c r="AP77" s="292"/>
      <c r="AQ77" s="292"/>
      <c r="AR77" s="292"/>
      <c r="AS77" s="292"/>
    </row>
    <row r="78" spans="2:45" x14ac:dyDescent="0.2">
      <c r="B78" s="292"/>
      <c r="C78" s="292"/>
      <c r="D78" s="292"/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92"/>
      <c r="P78" s="292"/>
      <c r="Q78" s="292"/>
      <c r="R78" s="292"/>
      <c r="S78" s="292"/>
      <c r="T78" s="292"/>
      <c r="U78" s="292"/>
      <c r="V78" s="292"/>
      <c r="W78" s="292"/>
      <c r="X78" s="292"/>
      <c r="Y78" s="292"/>
      <c r="Z78" s="292"/>
      <c r="AA78" s="292"/>
      <c r="AB78" s="292"/>
      <c r="AC78" s="292"/>
      <c r="AD78" s="292"/>
      <c r="AE78" s="292"/>
      <c r="AF78" s="292"/>
      <c r="AG78" s="292"/>
      <c r="AH78" s="292"/>
      <c r="AI78" s="292"/>
      <c r="AJ78" s="292"/>
      <c r="AK78" s="292"/>
      <c r="AL78" s="292"/>
      <c r="AM78" s="292"/>
      <c r="AN78" s="292"/>
      <c r="AO78" s="292"/>
      <c r="AP78" s="292"/>
      <c r="AQ78" s="292"/>
      <c r="AR78" s="292"/>
      <c r="AS78" s="292"/>
    </row>
    <row r="79" spans="2:45" x14ac:dyDescent="0.2">
      <c r="B79" s="292" t="s">
        <v>122</v>
      </c>
      <c r="C79" s="292"/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92"/>
      <c r="P79" s="292"/>
      <c r="Q79" s="292"/>
      <c r="R79" s="292"/>
      <c r="S79" s="292"/>
      <c r="T79" s="292"/>
      <c r="U79" s="292"/>
      <c r="V79" s="292"/>
      <c r="W79" s="292"/>
      <c r="X79" s="292"/>
      <c r="Y79" s="292"/>
      <c r="Z79" s="292"/>
      <c r="AA79" s="292"/>
      <c r="AB79" s="292"/>
      <c r="AC79" s="292"/>
      <c r="AD79" s="292"/>
      <c r="AE79" s="292"/>
      <c r="AF79" s="292"/>
      <c r="AG79" s="292"/>
      <c r="AH79" s="292"/>
      <c r="AI79" s="292"/>
      <c r="AJ79" s="292"/>
      <c r="AK79" s="292"/>
      <c r="AL79" s="292"/>
      <c r="AM79" s="292"/>
      <c r="AN79" s="292"/>
      <c r="AO79" s="292"/>
      <c r="AP79" s="292"/>
      <c r="AQ79" s="292"/>
      <c r="AR79" s="292"/>
      <c r="AS79" s="292"/>
    </row>
    <row r="82" spans="2:45" ht="101" x14ac:dyDescent="0.2">
      <c r="B82" s="300" t="s">
        <v>350</v>
      </c>
      <c r="C82" s="293" t="s">
        <v>294</v>
      </c>
      <c r="D82" s="293" t="s">
        <v>295</v>
      </c>
      <c r="E82" s="293" t="s">
        <v>296</v>
      </c>
      <c r="F82" s="293" t="s">
        <v>297</v>
      </c>
      <c r="G82" s="294" t="s">
        <v>298</v>
      </c>
      <c r="H82" s="294" t="s">
        <v>299</v>
      </c>
      <c r="I82" s="294" t="s">
        <v>300</v>
      </c>
      <c r="J82" s="294" t="s">
        <v>301</v>
      </c>
      <c r="K82" s="294" t="s">
        <v>302</v>
      </c>
      <c r="L82" s="294" t="s">
        <v>303</v>
      </c>
      <c r="M82" s="295" t="s">
        <v>304</v>
      </c>
      <c r="N82" s="295" t="s">
        <v>305</v>
      </c>
      <c r="O82" s="295" t="s">
        <v>306</v>
      </c>
      <c r="P82" s="295" t="s">
        <v>307</v>
      </c>
      <c r="Q82" s="295" t="s">
        <v>308</v>
      </c>
      <c r="R82" s="295" t="s">
        <v>309</v>
      </c>
      <c r="S82" s="295" t="s">
        <v>310</v>
      </c>
      <c r="T82" s="295" t="s">
        <v>311</v>
      </c>
      <c r="U82" s="295" t="s">
        <v>312</v>
      </c>
      <c r="V82" s="296" t="s">
        <v>313</v>
      </c>
      <c r="W82" s="296" t="s">
        <v>314</v>
      </c>
      <c r="X82" s="296" t="s">
        <v>315</v>
      </c>
      <c r="Y82" s="296" t="s">
        <v>316</v>
      </c>
      <c r="Z82" s="296" t="s">
        <v>317</v>
      </c>
      <c r="AA82" s="296" t="s">
        <v>318</v>
      </c>
      <c r="AB82" s="296" t="s">
        <v>319</v>
      </c>
      <c r="AC82" s="296" t="s">
        <v>320</v>
      </c>
      <c r="AD82" s="296" t="s">
        <v>321</v>
      </c>
      <c r="AE82" s="297" t="s">
        <v>322</v>
      </c>
      <c r="AF82" s="297" t="s">
        <v>323</v>
      </c>
      <c r="AG82" s="297" t="s">
        <v>324</v>
      </c>
      <c r="AH82" s="297" t="s">
        <v>325</v>
      </c>
      <c r="AI82" s="297" t="s">
        <v>326</v>
      </c>
      <c r="AJ82" s="297" t="s">
        <v>327</v>
      </c>
      <c r="AK82" s="297" t="s">
        <v>328</v>
      </c>
      <c r="AL82" s="297" t="s">
        <v>329</v>
      </c>
      <c r="AM82" s="297" t="s">
        <v>330</v>
      </c>
      <c r="AN82" s="298" t="s">
        <v>331</v>
      </c>
      <c r="AO82" s="298" t="s">
        <v>332</v>
      </c>
      <c r="AP82" s="298" t="s">
        <v>333</v>
      </c>
      <c r="AQ82" s="298" t="s">
        <v>334</v>
      </c>
      <c r="AR82" s="298" t="s">
        <v>335</v>
      </c>
      <c r="AS82" s="298" t="s">
        <v>336</v>
      </c>
    </row>
    <row r="83" spans="2:45" x14ac:dyDescent="0.2">
      <c r="B83" s="292"/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292"/>
      <c r="N83" s="292"/>
      <c r="O83" s="292"/>
      <c r="P83" s="292"/>
      <c r="Q83" s="292"/>
      <c r="R83" s="292"/>
      <c r="S83" s="292"/>
      <c r="T83" s="292"/>
      <c r="U83" s="292"/>
      <c r="V83" s="292"/>
      <c r="W83" s="292"/>
      <c r="X83" s="292"/>
      <c r="Y83" s="292"/>
      <c r="Z83" s="292"/>
      <c r="AA83" s="292"/>
      <c r="AB83" s="292"/>
      <c r="AC83" s="292"/>
      <c r="AD83" s="292"/>
      <c r="AE83" s="292"/>
      <c r="AF83" s="292"/>
      <c r="AG83" s="292"/>
      <c r="AH83" s="292"/>
      <c r="AI83" s="292"/>
      <c r="AJ83" s="292"/>
      <c r="AK83" s="292"/>
      <c r="AL83" s="292"/>
      <c r="AM83" s="292"/>
      <c r="AN83" s="292"/>
      <c r="AO83" s="292"/>
      <c r="AP83" s="292"/>
      <c r="AQ83" s="292"/>
      <c r="AR83" s="292"/>
      <c r="AS83" s="292"/>
    </row>
    <row r="84" spans="2:45" x14ac:dyDescent="0.2"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X84" s="292"/>
      <c r="Y84" s="292"/>
      <c r="Z84" s="292"/>
      <c r="AA84" s="292"/>
      <c r="AB84" s="292"/>
      <c r="AC84" s="292"/>
      <c r="AD84" s="292"/>
      <c r="AE84" s="292"/>
      <c r="AF84" s="292"/>
      <c r="AG84" s="292"/>
      <c r="AH84" s="292"/>
      <c r="AI84" s="292"/>
      <c r="AJ84" s="292"/>
      <c r="AK84" s="292"/>
      <c r="AL84" s="292"/>
      <c r="AM84" s="292"/>
      <c r="AN84" s="292"/>
      <c r="AO84" s="292"/>
      <c r="AP84" s="292"/>
      <c r="AQ84" s="292"/>
      <c r="AR84" s="292"/>
      <c r="AS84" s="292"/>
    </row>
    <row r="85" spans="2:45" x14ac:dyDescent="0.2">
      <c r="B85" s="292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  <c r="AA85" s="292"/>
      <c r="AB85" s="292"/>
      <c r="AC85" s="292"/>
      <c r="AD85" s="292"/>
      <c r="AE85" s="292"/>
      <c r="AF85" s="292"/>
      <c r="AG85" s="292"/>
      <c r="AH85" s="292"/>
      <c r="AI85" s="292"/>
      <c r="AJ85" s="292"/>
      <c r="AK85" s="292"/>
      <c r="AL85" s="292"/>
      <c r="AM85" s="292"/>
      <c r="AN85" s="292"/>
      <c r="AO85" s="292"/>
      <c r="AP85" s="292"/>
      <c r="AQ85" s="292"/>
      <c r="AR85" s="292"/>
      <c r="AS85" s="292"/>
    </row>
    <row r="86" spans="2:45" x14ac:dyDescent="0.2"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  <c r="V86" s="292"/>
      <c r="W86" s="292"/>
      <c r="X86" s="292"/>
      <c r="Y86" s="292"/>
      <c r="Z86" s="292"/>
      <c r="AA86" s="292"/>
      <c r="AB86" s="292"/>
      <c r="AC86" s="292"/>
      <c r="AD86" s="292"/>
      <c r="AE86" s="292"/>
      <c r="AF86" s="292"/>
      <c r="AG86" s="292"/>
      <c r="AH86" s="292"/>
      <c r="AI86" s="292"/>
      <c r="AJ86" s="292"/>
      <c r="AK86" s="292"/>
      <c r="AL86" s="292"/>
      <c r="AM86" s="292"/>
      <c r="AN86" s="292"/>
      <c r="AO86" s="292"/>
      <c r="AP86" s="292"/>
      <c r="AQ86" s="292"/>
      <c r="AR86" s="292"/>
      <c r="AS86" s="292"/>
    </row>
    <row r="87" spans="2:45" x14ac:dyDescent="0.2">
      <c r="B87" s="292" t="s">
        <v>122</v>
      </c>
      <c r="C87" s="292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92"/>
      <c r="R87" s="292"/>
      <c r="S87" s="292"/>
      <c r="T87" s="292"/>
      <c r="U87" s="292"/>
      <c r="V87" s="292"/>
      <c r="W87" s="292"/>
      <c r="X87" s="292"/>
      <c r="Y87" s="292"/>
      <c r="Z87" s="292"/>
      <c r="AA87" s="292"/>
      <c r="AB87" s="292"/>
      <c r="AC87" s="292"/>
      <c r="AD87" s="292"/>
      <c r="AE87" s="292"/>
      <c r="AF87" s="292"/>
      <c r="AG87" s="292"/>
      <c r="AH87" s="292"/>
      <c r="AI87" s="292"/>
      <c r="AJ87" s="292"/>
      <c r="AK87" s="292"/>
      <c r="AL87" s="292"/>
      <c r="AM87" s="292"/>
      <c r="AN87" s="292"/>
      <c r="AO87" s="292"/>
      <c r="AP87" s="292"/>
      <c r="AQ87" s="292"/>
      <c r="AR87" s="292"/>
      <c r="AS87" s="292"/>
    </row>
    <row r="90" spans="2:45" ht="101" x14ac:dyDescent="0.2">
      <c r="B90" s="300" t="s">
        <v>351</v>
      </c>
      <c r="C90" s="293" t="s">
        <v>294</v>
      </c>
      <c r="D90" s="293" t="s">
        <v>295</v>
      </c>
      <c r="E90" s="293" t="s">
        <v>296</v>
      </c>
      <c r="F90" s="293" t="s">
        <v>297</v>
      </c>
      <c r="G90" s="294" t="s">
        <v>298</v>
      </c>
      <c r="H90" s="294" t="s">
        <v>299</v>
      </c>
      <c r="I90" s="294" t="s">
        <v>300</v>
      </c>
      <c r="J90" s="294" t="s">
        <v>301</v>
      </c>
      <c r="K90" s="294" t="s">
        <v>302</v>
      </c>
      <c r="L90" s="294" t="s">
        <v>303</v>
      </c>
      <c r="M90" s="295" t="s">
        <v>304</v>
      </c>
      <c r="N90" s="295" t="s">
        <v>305</v>
      </c>
      <c r="O90" s="295" t="s">
        <v>306</v>
      </c>
      <c r="P90" s="295" t="s">
        <v>307</v>
      </c>
      <c r="Q90" s="295" t="s">
        <v>308</v>
      </c>
      <c r="R90" s="295" t="s">
        <v>309</v>
      </c>
      <c r="S90" s="295" t="s">
        <v>310</v>
      </c>
      <c r="T90" s="295" t="s">
        <v>311</v>
      </c>
      <c r="U90" s="295" t="s">
        <v>312</v>
      </c>
      <c r="V90" s="296" t="s">
        <v>313</v>
      </c>
      <c r="W90" s="296" t="s">
        <v>314</v>
      </c>
      <c r="X90" s="296" t="s">
        <v>315</v>
      </c>
      <c r="Y90" s="296" t="s">
        <v>316</v>
      </c>
      <c r="Z90" s="296" t="s">
        <v>317</v>
      </c>
      <c r="AA90" s="296" t="s">
        <v>318</v>
      </c>
      <c r="AB90" s="296" t="s">
        <v>319</v>
      </c>
      <c r="AC90" s="296" t="s">
        <v>320</v>
      </c>
      <c r="AD90" s="296" t="s">
        <v>321</v>
      </c>
      <c r="AE90" s="297" t="s">
        <v>322</v>
      </c>
      <c r="AF90" s="297" t="s">
        <v>323</v>
      </c>
      <c r="AG90" s="297" t="s">
        <v>324</v>
      </c>
      <c r="AH90" s="297" t="s">
        <v>325</v>
      </c>
      <c r="AI90" s="297" t="s">
        <v>326</v>
      </c>
      <c r="AJ90" s="297" t="s">
        <v>327</v>
      </c>
      <c r="AK90" s="297" t="s">
        <v>328</v>
      </c>
      <c r="AL90" s="297" t="s">
        <v>329</v>
      </c>
      <c r="AM90" s="297" t="s">
        <v>330</v>
      </c>
      <c r="AN90" s="298" t="s">
        <v>331</v>
      </c>
      <c r="AO90" s="298" t="s">
        <v>332</v>
      </c>
      <c r="AP90" s="298" t="s">
        <v>333</v>
      </c>
      <c r="AQ90" s="298" t="s">
        <v>334</v>
      </c>
      <c r="AR90" s="298" t="s">
        <v>335</v>
      </c>
      <c r="AS90" s="298" t="s">
        <v>336</v>
      </c>
    </row>
    <row r="91" spans="2:45" x14ac:dyDescent="0.2"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2"/>
      <c r="P91" s="292"/>
      <c r="Q91" s="292"/>
      <c r="R91" s="292"/>
      <c r="S91" s="292"/>
      <c r="T91" s="292"/>
      <c r="U91" s="292"/>
      <c r="V91" s="292"/>
      <c r="W91" s="292"/>
      <c r="X91" s="292"/>
      <c r="Y91" s="292"/>
      <c r="Z91" s="292"/>
      <c r="AA91" s="292"/>
      <c r="AB91" s="292"/>
      <c r="AC91" s="292"/>
      <c r="AD91" s="292"/>
      <c r="AE91" s="292"/>
      <c r="AF91" s="292"/>
      <c r="AG91" s="292"/>
      <c r="AH91" s="292"/>
      <c r="AI91" s="292"/>
      <c r="AJ91" s="292"/>
      <c r="AK91" s="292"/>
      <c r="AL91" s="292"/>
      <c r="AM91" s="292"/>
      <c r="AN91" s="292"/>
      <c r="AO91" s="292"/>
      <c r="AP91" s="292"/>
      <c r="AQ91" s="292"/>
      <c r="AR91" s="292"/>
      <c r="AS91" s="292"/>
    </row>
    <row r="92" spans="2:45" x14ac:dyDescent="0.2">
      <c r="B92" s="292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  <c r="AA92" s="292"/>
      <c r="AB92" s="292"/>
      <c r="AC92" s="292"/>
      <c r="AD92" s="292"/>
      <c r="AE92" s="292"/>
      <c r="AF92" s="292"/>
      <c r="AG92" s="292"/>
      <c r="AH92" s="292"/>
      <c r="AI92" s="292"/>
      <c r="AJ92" s="292"/>
      <c r="AK92" s="292"/>
      <c r="AL92" s="292"/>
      <c r="AM92" s="292"/>
      <c r="AN92" s="292"/>
      <c r="AO92" s="292"/>
      <c r="AP92" s="292"/>
      <c r="AQ92" s="292"/>
      <c r="AR92" s="292"/>
      <c r="AS92" s="292"/>
    </row>
    <row r="93" spans="2:45" x14ac:dyDescent="0.2">
      <c r="B93" s="292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  <c r="Z93" s="292"/>
      <c r="AA93" s="292"/>
      <c r="AB93" s="292"/>
      <c r="AC93" s="292"/>
      <c r="AD93" s="292"/>
      <c r="AE93" s="292"/>
      <c r="AF93" s="292"/>
      <c r="AG93" s="292"/>
      <c r="AH93" s="292"/>
      <c r="AI93" s="292"/>
      <c r="AJ93" s="292"/>
      <c r="AK93" s="292"/>
      <c r="AL93" s="292"/>
      <c r="AM93" s="292"/>
      <c r="AN93" s="292"/>
      <c r="AO93" s="292"/>
      <c r="AP93" s="292"/>
      <c r="AQ93" s="292"/>
      <c r="AR93" s="292"/>
      <c r="AS93" s="292"/>
    </row>
    <row r="94" spans="2:45" x14ac:dyDescent="0.2">
      <c r="B94" s="292"/>
      <c r="C94" s="292"/>
      <c r="D94" s="292"/>
      <c r="E94" s="292"/>
      <c r="F94" s="292"/>
      <c r="G94" s="292"/>
      <c r="H94" s="292"/>
      <c r="I94" s="292"/>
      <c r="J94" s="292"/>
      <c r="K94" s="292"/>
      <c r="L94" s="292"/>
      <c r="M94" s="292"/>
      <c r="N94" s="292"/>
      <c r="O94" s="292"/>
      <c r="P94" s="292"/>
      <c r="Q94" s="292"/>
      <c r="R94" s="292"/>
      <c r="S94" s="292"/>
      <c r="T94" s="292"/>
      <c r="U94" s="292"/>
      <c r="V94" s="292"/>
      <c r="W94" s="292"/>
      <c r="X94" s="292"/>
      <c r="Y94" s="292"/>
      <c r="Z94" s="292"/>
      <c r="AA94" s="292"/>
      <c r="AB94" s="292"/>
      <c r="AC94" s="292"/>
      <c r="AD94" s="292"/>
      <c r="AE94" s="292"/>
      <c r="AF94" s="292"/>
      <c r="AG94" s="292"/>
      <c r="AH94" s="292"/>
      <c r="AI94" s="292"/>
      <c r="AJ94" s="292"/>
      <c r="AK94" s="292"/>
      <c r="AL94" s="292"/>
      <c r="AM94" s="292"/>
      <c r="AN94" s="292"/>
      <c r="AO94" s="292"/>
      <c r="AP94" s="292"/>
      <c r="AQ94" s="292"/>
      <c r="AR94" s="292"/>
      <c r="AS94" s="292"/>
    </row>
    <row r="95" spans="2:45" x14ac:dyDescent="0.2">
      <c r="B95" s="292" t="s">
        <v>122</v>
      </c>
      <c r="C95" s="292"/>
      <c r="D95" s="292"/>
      <c r="E95" s="292"/>
      <c r="F95" s="292"/>
      <c r="G95" s="292"/>
      <c r="H95" s="292"/>
      <c r="I95" s="292"/>
      <c r="J95" s="292"/>
      <c r="K95" s="292"/>
      <c r="L95" s="292"/>
      <c r="M95" s="292"/>
      <c r="N95" s="292"/>
      <c r="O95" s="292"/>
      <c r="P95" s="292"/>
      <c r="Q95" s="292"/>
      <c r="R95" s="292"/>
      <c r="S95" s="292"/>
      <c r="T95" s="292"/>
      <c r="U95" s="292"/>
      <c r="V95" s="292"/>
      <c r="W95" s="292"/>
      <c r="X95" s="292"/>
      <c r="Y95" s="292"/>
      <c r="Z95" s="292"/>
      <c r="AA95" s="292"/>
      <c r="AB95" s="292"/>
      <c r="AC95" s="292"/>
      <c r="AD95" s="292"/>
      <c r="AE95" s="292"/>
      <c r="AF95" s="292"/>
      <c r="AG95" s="292"/>
      <c r="AH95" s="292"/>
      <c r="AI95" s="292"/>
      <c r="AJ95" s="292"/>
      <c r="AK95" s="292"/>
      <c r="AL95" s="292"/>
      <c r="AM95" s="292"/>
      <c r="AN95" s="292"/>
      <c r="AO95" s="292"/>
      <c r="AP95" s="292"/>
      <c r="AQ95" s="292"/>
      <c r="AR95" s="292"/>
      <c r="AS95" s="292"/>
    </row>
    <row r="98" spans="2:45" ht="101" x14ac:dyDescent="0.2">
      <c r="B98" s="300" t="s">
        <v>352</v>
      </c>
      <c r="C98" s="293" t="s">
        <v>294</v>
      </c>
      <c r="D98" s="293" t="s">
        <v>295</v>
      </c>
      <c r="E98" s="293" t="s">
        <v>296</v>
      </c>
      <c r="F98" s="293" t="s">
        <v>297</v>
      </c>
      <c r="G98" s="294" t="s">
        <v>298</v>
      </c>
      <c r="H98" s="294" t="s">
        <v>299</v>
      </c>
      <c r="I98" s="294" t="s">
        <v>300</v>
      </c>
      <c r="J98" s="294" t="s">
        <v>301</v>
      </c>
      <c r="K98" s="294" t="s">
        <v>302</v>
      </c>
      <c r="L98" s="294" t="s">
        <v>303</v>
      </c>
      <c r="M98" s="295" t="s">
        <v>304</v>
      </c>
      <c r="N98" s="295" t="s">
        <v>305</v>
      </c>
      <c r="O98" s="295" t="s">
        <v>306</v>
      </c>
      <c r="P98" s="295" t="s">
        <v>307</v>
      </c>
      <c r="Q98" s="295" t="s">
        <v>308</v>
      </c>
      <c r="R98" s="295" t="s">
        <v>309</v>
      </c>
      <c r="S98" s="295" t="s">
        <v>310</v>
      </c>
      <c r="T98" s="295" t="s">
        <v>311</v>
      </c>
      <c r="U98" s="295" t="s">
        <v>312</v>
      </c>
      <c r="V98" s="296" t="s">
        <v>313</v>
      </c>
      <c r="W98" s="296" t="s">
        <v>314</v>
      </c>
      <c r="X98" s="296" t="s">
        <v>315</v>
      </c>
      <c r="Y98" s="296" t="s">
        <v>316</v>
      </c>
      <c r="Z98" s="296" t="s">
        <v>317</v>
      </c>
      <c r="AA98" s="296" t="s">
        <v>318</v>
      </c>
      <c r="AB98" s="296" t="s">
        <v>319</v>
      </c>
      <c r="AC98" s="296" t="s">
        <v>320</v>
      </c>
      <c r="AD98" s="296" t="s">
        <v>321</v>
      </c>
      <c r="AE98" s="297" t="s">
        <v>322</v>
      </c>
      <c r="AF98" s="297" t="s">
        <v>323</v>
      </c>
      <c r="AG98" s="297" t="s">
        <v>324</v>
      </c>
      <c r="AH98" s="297" t="s">
        <v>325</v>
      </c>
      <c r="AI98" s="297" t="s">
        <v>326</v>
      </c>
      <c r="AJ98" s="297" t="s">
        <v>327</v>
      </c>
      <c r="AK98" s="297" t="s">
        <v>328</v>
      </c>
      <c r="AL98" s="297" t="s">
        <v>329</v>
      </c>
      <c r="AM98" s="297" t="s">
        <v>330</v>
      </c>
      <c r="AN98" s="298" t="s">
        <v>331</v>
      </c>
      <c r="AO98" s="298" t="s">
        <v>332</v>
      </c>
      <c r="AP98" s="298" t="s">
        <v>333</v>
      </c>
      <c r="AQ98" s="298" t="s">
        <v>334</v>
      </c>
      <c r="AR98" s="298" t="s">
        <v>335</v>
      </c>
      <c r="AS98" s="298" t="s">
        <v>336</v>
      </c>
    </row>
    <row r="99" spans="2:45" x14ac:dyDescent="0.2">
      <c r="B99" s="292"/>
      <c r="C99" s="292"/>
      <c r="D99" s="292"/>
      <c r="E99" s="292"/>
      <c r="F99" s="292"/>
      <c r="G99" s="292"/>
      <c r="H99" s="292"/>
      <c r="I99" s="292"/>
      <c r="J99" s="292"/>
      <c r="K99" s="292"/>
      <c r="L99" s="292"/>
      <c r="M99" s="292"/>
      <c r="N99" s="292"/>
      <c r="O99" s="292"/>
      <c r="P99" s="292"/>
      <c r="Q99" s="292"/>
      <c r="R99" s="292"/>
      <c r="S99" s="292"/>
      <c r="T99" s="292"/>
      <c r="U99" s="292"/>
      <c r="V99" s="292"/>
      <c r="W99" s="292"/>
      <c r="X99" s="292"/>
      <c r="Y99" s="292"/>
      <c r="Z99" s="292"/>
      <c r="AA99" s="292"/>
      <c r="AB99" s="292"/>
      <c r="AC99" s="292"/>
      <c r="AD99" s="292"/>
      <c r="AE99" s="292"/>
      <c r="AF99" s="292"/>
      <c r="AG99" s="292"/>
      <c r="AH99" s="292"/>
      <c r="AI99" s="292"/>
      <c r="AJ99" s="292"/>
      <c r="AK99" s="292"/>
      <c r="AL99" s="292"/>
      <c r="AM99" s="292"/>
      <c r="AN99" s="292"/>
      <c r="AO99" s="292"/>
      <c r="AP99" s="292"/>
      <c r="AQ99" s="292"/>
      <c r="AR99" s="292"/>
      <c r="AS99" s="292"/>
    </row>
    <row r="100" spans="2:45" x14ac:dyDescent="0.2"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2"/>
      <c r="P100" s="292"/>
      <c r="Q100" s="292"/>
      <c r="R100" s="292"/>
      <c r="S100" s="292"/>
      <c r="T100" s="292"/>
      <c r="U100" s="292"/>
      <c r="V100" s="292"/>
      <c r="W100" s="292"/>
      <c r="X100" s="292"/>
      <c r="Y100" s="292"/>
      <c r="Z100" s="292"/>
      <c r="AA100" s="292"/>
      <c r="AB100" s="292"/>
      <c r="AC100" s="292"/>
      <c r="AD100" s="292"/>
      <c r="AE100" s="292"/>
      <c r="AF100" s="292"/>
      <c r="AG100" s="292"/>
      <c r="AH100" s="292"/>
      <c r="AI100" s="292"/>
      <c r="AJ100" s="292"/>
      <c r="AK100" s="292"/>
      <c r="AL100" s="292"/>
      <c r="AM100" s="292"/>
      <c r="AN100" s="292"/>
      <c r="AO100" s="292"/>
      <c r="AP100" s="292"/>
      <c r="AQ100" s="292"/>
      <c r="AR100" s="292"/>
      <c r="AS100" s="292"/>
    </row>
    <row r="101" spans="2:45" x14ac:dyDescent="0.2"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  <c r="Z101" s="292"/>
      <c r="AA101" s="292"/>
      <c r="AB101" s="292"/>
      <c r="AC101" s="292"/>
      <c r="AD101" s="292"/>
      <c r="AE101" s="292"/>
      <c r="AF101" s="292"/>
      <c r="AG101" s="292"/>
      <c r="AH101" s="292"/>
      <c r="AI101" s="292"/>
      <c r="AJ101" s="292"/>
      <c r="AK101" s="292"/>
      <c r="AL101" s="292"/>
      <c r="AM101" s="292"/>
      <c r="AN101" s="292"/>
      <c r="AO101" s="292"/>
      <c r="AP101" s="292"/>
      <c r="AQ101" s="292"/>
      <c r="AR101" s="292"/>
      <c r="AS101" s="292"/>
    </row>
    <row r="102" spans="2:45" x14ac:dyDescent="0.2"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  <c r="AA102" s="292"/>
      <c r="AB102" s="292"/>
      <c r="AC102" s="292"/>
      <c r="AD102" s="292"/>
      <c r="AE102" s="292"/>
      <c r="AF102" s="292"/>
      <c r="AG102" s="292"/>
      <c r="AH102" s="292"/>
      <c r="AI102" s="292"/>
      <c r="AJ102" s="292"/>
      <c r="AK102" s="292"/>
      <c r="AL102" s="292"/>
      <c r="AM102" s="292"/>
      <c r="AN102" s="292"/>
      <c r="AO102" s="292"/>
      <c r="AP102" s="292"/>
      <c r="AQ102" s="292"/>
      <c r="AR102" s="292"/>
      <c r="AS102" s="292"/>
    </row>
    <row r="103" spans="2:45" x14ac:dyDescent="0.2">
      <c r="B103" s="292" t="s">
        <v>122</v>
      </c>
      <c r="C103" s="292"/>
      <c r="D103" s="292"/>
      <c r="E103" s="292"/>
      <c r="F103" s="292"/>
      <c r="G103" s="292"/>
      <c r="H103" s="292"/>
      <c r="I103" s="292"/>
      <c r="J103" s="292"/>
      <c r="K103" s="292"/>
      <c r="L103" s="292"/>
      <c r="M103" s="292"/>
      <c r="N103" s="292"/>
      <c r="O103" s="292"/>
      <c r="P103" s="292"/>
      <c r="Q103" s="292"/>
      <c r="R103" s="292"/>
      <c r="S103" s="292"/>
      <c r="T103" s="292"/>
      <c r="U103" s="292"/>
      <c r="V103" s="292"/>
      <c r="W103" s="292"/>
      <c r="X103" s="292"/>
      <c r="Y103" s="292"/>
      <c r="Z103" s="292"/>
      <c r="AA103" s="292"/>
      <c r="AB103" s="292"/>
      <c r="AC103" s="292"/>
      <c r="AD103" s="292"/>
      <c r="AE103" s="292"/>
      <c r="AF103" s="292"/>
      <c r="AG103" s="292"/>
      <c r="AH103" s="292"/>
      <c r="AI103" s="292"/>
      <c r="AJ103" s="292"/>
      <c r="AK103" s="292"/>
      <c r="AL103" s="292"/>
      <c r="AM103" s="292"/>
      <c r="AN103" s="292"/>
      <c r="AO103" s="292"/>
      <c r="AP103" s="292"/>
      <c r="AQ103" s="292"/>
      <c r="AR103" s="292"/>
      <c r="AS103" s="292"/>
    </row>
    <row r="106" spans="2:45" ht="101" x14ac:dyDescent="0.2">
      <c r="B106" s="300" t="s">
        <v>353</v>
      </c>
      <c r="C106" s="293" t="s">
        <v>294</v>
      </c>
      <c r="D106" s="293" t="s">
        <v>295</v>
      </c>
      <c r="E106" s="293" t="s">
        <v>296</v>
      </c>
      <c r="F106" s="293" t="s">
        <v>297</v>
      </c>
      <c r="G106" s="294" t="s">
        <v>298</v>
      </c>
      <c r="H106" s="294" t="s">
        <v>299</v>
      </c>
      <c r="I106" s="294" t="s">
        <v>300</v>
      </c>
      <c r="J106" s="294" t="s">
        <v>301</v>
      </c>
      <c r="K106" s="294" t="s">
        <v>302</v>
      </c>
      <c r="L106" s="294" t="s">
        <v>303</v>
      </c>
      <c r="M106" s="295" t="s">
        <v>304</v>
      </c>
      <c r="N106" s="295" t="s">
        <v>305</v>
      </c>
      <c r="O106" s="295" t="s">
        <v>306</v>
      </c>
      <c r="P106" s="295" t="s">
        <v>307</v>
      </c>
      <c r="Q106" s="295" t="s">
        <v>308</v>
      </c>
      <c r="R106" s="295" t="s">
        <v>309</v>
      </c>
      <c r="S106" s="295" t="s">
        <v>310</v>
      </c>
      <c r="T106" s="295" t="s">
        <v>311</v>
      </c>
      <c r="U106" s="295" t="s">
        <v>312</v>
      </c>
      <c r="V106" s="296" t="s">
        <v>313</v>
      </c>
      <c r="W106" s="296" t="s">
        <v>314</v>
      </c>
      <c r="X106" s="296" t="s">
        <v>315</v>
      </c>
      <c r="Y106" s="296" t="s">
        <v>316</v>
      </c>
      <c r="Z106" s="296" t="s">
        <v>317</v>
      </c>
      <c r="AA106" s="296" t="s">
        <v>318</v>
      </c>
      <c r="AB106" s="296" t="s">
        <v>319</v>
      </c>
      <c r="AC106" s="296" t="s">
        <v>320</v>
      </c>
      <c r="AD106" s="296" t="s">
        <v>321</v>
      </c>
      <c r="AE106" s="297" t="s">
        <v>322</v>
      </c>
      <c r="AF106" s="297" t="s">
        <v>323</v>
      </c>
      <c r="AG106" s="297" t="s">
        <v>324</v>
      </c>
      <c r="AH106" s="297" t="s">
        <v>325</v>
      </c>
      <c r="AI106" s="297" t="s">
        <v>326</v>
      </c>
      <c r="AJ106" s="297" t="s">
        <v>327</v>
      </c>
      <c r="AK106" s="297" t="s">
        <v>328</v>
      </c>
      <c r="AL106" s="297" t="s">
        <v>329</v>
      </c>
      <c r="AM106" s="297" t="s">
        <v>330</v>
      </c>
      <c r="AN106" s="298" t="s">
        <v>331</v>
      </c>
      <c r="AO106" s="298" t="s">
        <v>332</v>
      </c>
      <c r="AP106" s="298" t="s">
        <v>333</v>
      </c>
      <c r="AQ106" s="298" t="s">
        <v>334</v>
      </c>
      <c r="AR106" s="298" t="s">
        <v>335</v>
      </c>
      <c r="AS106" s="298" t="s">
        <v>336</v>
      </c>
    </row>
    <row r="107" spans="2:45" x14ac:dyDescent="0.2"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2"/>
      <c r="AH107" s="292"/>
      <c r="AI107" s="292"/>
      <c r="AJ107" s="292"/>
      <c r="AK107" s="292"/>
      <c r="AL107" s="292"/>
      <c r="AM107" s="292"/>
      <c r="AN107" s="292"/>
      <c r="AO107" s="292"/>
      <c r="AP107" s="292"/>
      <c r="AQ107" s="292"/>
      <c r="AR107" s="292"/>
      <c r="AS107" s="292"/>
    </row>
    <row r="108" spans="2:45" x14ac:dyDescent="0.2"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92"/>
      <c r="AB108" s="292"/>
      <c r="AC108" s="292"/>
      <c r="AD108" s="292"/>
      <c r="AE108" s="292"/>
      <c r="AF108" s="292"/>
      <c r="AG108" s="292"/>
      <c r="AH108" s="292"/>
      <c r="AI108" s="292"/>
      <c r="AJ108" s="292"/>
      <c r="AK108" s="292"/>
      <c r="AL108" s="292"/>
      <c r="AM108" s="292"/>
      <c r="AN108" s="292"/>
      <c r="AO108" s="292"/>
      <c r="AP108" s="292"/>
      <c r="AQ108" s="292"/>
      <c r="AR108" s="292"/>
      <c r="AS108" s="292"/>
    </row>
    <row r="109" spans="2:45" x14ac:dyDescent="0.2">
      <c r="B109" s="292"/>
      <c r="C109" s="292"/>
      <c r="D109" s="292"/>
      <c r="E109" s="292"/>
      <c r="F109" s="292"/>
      <c r="G109" s="292"/>
      <c r="H109" s="292"/>
      <c r="I109" s="292"/>
      <c r="J109" s="292"/>
      <c r="K109" s="292"/>
      <c r="L109" s="292"/>
      <c r="M109" s="292"/>
      <c r="N109" s="292"/>
      <c r="O109" s="292"/>
      <c r="P109" s="292"/>
      <c r="Q109" s="292"/>
      <c r="R109" s="292"/>
      <c r="S109" s="292"/>
      <c r="T109" s="292"/>
      <c r="U109" s="292"/>
      <c r="V109" s="292"/>
      <c r="W109" s="292"/>
      <c r="X109" s="292"/>
      <c r="Y109" s="292"/>
      <c r="Z109" s="292"/>
      <c r="AA109" s="292"/>
      <c r="AB109" s="292"/>
      <c r="AC109" s="292"/>
      <c r="AD109" s="292"/>
      <c r="AE109" s="292"/>
      <c r="AF109" s="292"/>
      <c r="AG109" s="292"/>
      <c r="AH109" s="292"/>
      <c r="AI109" s="292"/>
      <c r="AJ109" s="292"/>
      <c r="AK109" s="292"/>
      <c r="AL109" s="292"/>
      <c r="AM109" s="292"/>
      <c r="AN109" s="292"/>
      <c r="AO109" s="292"/>
      <c r="AP109" s="292"/>
      <c r="AQ109" s="292"/>
      <c r="AR109" s="292"/>
      <c r="AS109" s="292"/>
    </row>
    <row r="110" spans="2:45" x14ac:dyDescent="0.2">
      <c r="B110" s="292"/>
      <c r="C110" s="292"/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92"/>
      <c r="P110" s="292"/>
      <c r="Q110" s="292"/>
      <c r="R110" s="292"/>
      <c r="S110" s="292"/>
      <c r="T110" s="292"/>
      <c r="U110" s="292"/>
      <c r="V110" s="292"/>
      <c r="W110" s="292"/>
      <c r="X110" s="292"/>
      <c r="Y110" s="292"/>
      <c r="Z110" s="292"/>
      <c r="AA110" s="292"/>
      <c r="AB110" s="292"/>
      <c r="AC110" s="292"/>
      <c r="AD110" s="292"/>
      <c r="AE110" s="292"/>
      <c r="AF110" s="292"/>
      <c r="AG110" s="292"/>
      <c r="AH110" s="292"/>
      <c r="AI110" s="292"/>
      <c r="AJ110" s="292"/>
      <c r="AK110" s="292"/>
      <c r="AL110" s="292"/>
      <c r="AM110" s="292"/>
      <c r="AN110" s="292"/>
      <c r="AO110" s="292"/>
      <c r="AP110" s="292"/>
      <c r="AQ110" s="292"/>
      <c r="AR110" s="292"/>
      <c r="AS110" s="292"/>
    </row>
    <row r="111" spans="2:45" x14ac:dyDescent="0.2">
      <c r="B111" s="292" t="s">
        <v>122</v>
      </c>
      <c r="C111" s="292"/>
      <c r="D111" s="292"/>
      <c r="E111" s="292"/>
      <c r="F111" s="292"/>
      <c r="G111" s="292"/>
      <c r="H111" s="292"/>
      <c r="I111" s="292"/>
      <c r="J111" s="292"/>
      <c r="K111" s="292"/>
      <c r="L111" s="292"/>
      <c r="M111" s="292"/>
      <c r="N111" s="292"/>
      <c r="O111" s="292"/>
      <c r="P111" s="292"/>
      <c r="Q111" s="292"/>
      <c r="R111" s="292"/>
      <c r="S111" s="292"/>
      <c r="T111" s="292"/>
      <c r="U111" s="292"/>
      <c r="V111" s="292"/>
      <c r="W111" s="292"/>
      <c r="X111" s="292"/>
      <c r="Y111" s="292"/>
      <c r="Z111" s="292"/>
      <c r="AA111" s="292"/>
      <c r="AB111" s="292"/>
      <c r="AC111" s="292"/>
      <c r="AD111" s="292"/>
      <c r="AE111" s="292"/>
      <c r="AF111" s="292"/>
      <c r="AG111" s="292"/>
      <c r="AH111" s="292"/>
      <c r="AI111" s="292"/>
      <c r="AJ111" s="292"/>
      <c r="AK111" s="292"/>
      <c r="AL111" s="292"/>
      <c r="AM111" s="292"/>
      <c r="AN111" s="292"/>
      <c r="AO111" s="292"/>
      <c r="AP111" s="292"/>
      <c r="AQ111" s="292"/>
      <c r="AR111" s="292"/>
      <c r="AS111" s="292"/>
    </row>
    <row r="114" spans="2:45" ht="101" x14ac:dyDescent="0.2">
      <c r="B114" s="300" t="s">
        <v>354</v>
      </c>
      <c r="C114" s="293" t="s">
        <v>294</v>
      </c>
      <c r="D114" s="293" t="s">
        <v>295</v>
      </c>
      <c r="E114" s="293" t="s">
        <v>296</v>
      </c>
      <c r="F114" s="293" t="s">
        <v>297</v>
      </c>
      <c r="G114" s="294" t="s">
        <v>298</v>
      </c>
      <c r="H114" s="294" t="s">
        <v>299</v>
      </c>
      <c r="I114" s="294" t="s">
        <v>300</v>
      </c>
      <c r="J114" s="294" t="s">
        <v>301</v>
      </c>
      <c r="K114" s="294" t="s">
        <v>302</v>
      </c>
      <c r="L114" s="294" t="s">
        <v>303</v>
      </c>
      <c r="M114" s="295" t="s">
        <v>304</v>
      </c>
      <c r="N114" s="295" t="s">
        <v>305</v>
      </c>
      <c r="O114" s="295" t="s">
        <v>306</v>
      </c>
      <c r="P114" s="295" t="s">
        <v>307</v>
      </c>
      <c r="Q114" s="295" t="s">
        <v>308</v>
      </c>
      <c r="R114" s="295" t="s">
        <v>309</v>
      </c>
      <c r="S114" s="295" t="s">
        <v>310</v>
      </c>
      <c r="T114" s="295" t="s">
        <v>311</v>
      </c>
      <c r="U114" s="295" t="s">
        <v>312</v>
      </c>
      <c r="V114" s="296" t="s">
        <v>313</v>
      </c>
      <c r="W114" s="296" t="s">
        <v>314</v>
      </c>
      <c r="X114" s="296" t="s">
        <v>315</v>
      </c>
      <c r="Y114" s="296" t="s">
        <v>316</v>
      </c>
      <c r="Z114" s="296" t="s">
        <v>317</v>
      </c>
      <c r="AA114" s="296" t="s">
        <v>318</v>
      </c>
      <c r="AB114" s="296" t="s">
        <v>319</v>
      </c>
      <c r="AC114" s="296" t="s">
        <v>320</v>
      </c>
      <c r="AD114" s="296" t="s">
        <v>321</v>
      </c>
      <c r="AE114" s="297" t="s">
        <v>322</v>
      </c>
      <c r="AF114" s="297" t="s">
        <v>323</v>
      </c>
      <c r="AG114" s="297" t="s">
        <v>324</v>
      </c>
      <c r="AH114" s="297" t="s">
        <v>325</v>
      </c>
      <c r="AI114" s="297" t="s">
        <v>326</v>
      </c>
      <c r="AJ114" s="297" t="s">
        <v>327</v>
      </c>
      <c r="AK114" s="297" t="s">
        <v>328</v>
      </c>
      <c r="AL114" s="297" t="s">
        <v>329</v>
      </c>
      <c r="AM114" s="297" t="s">
        <v>330</v>
      </c>
      <c r="AN114" s="298" t="s">
        <v>331</v>
      </c>
      <c r="AO114" s="298" t="s">
        <v>332</v>
      </c>
      <c r="AP114" s="298" t="s">
        <v>333</v>
      </c>
      <c r="AQ114" s="298" t="s">
        <v>334</v>
      </c>
      <c r="AR114" s="298" t="s">
        <v>335</v>
      </c>
      <c r="AS114" s="298" t="s">
        <v>336</v>
      </c>
    </row>
    <row r="115" spans="2:45" x14ac:dyDescent="0.2">
      <c r="B115" s="292"/>
      <c r="C115" s="292"/>
      <c r="D115" s="292"/>
      <c r="E115" s="292"/>
      <c r="F115" s="292"/>
      <c r="G115" s="292"/>
      <c r="H115" s="292"/>
      <c r="I115" s="292"/>
      <c r="J115" s="292"/>
      <c r="K115" s="292"/>
      <c r="L115" s="292"/>
      <c r="M115" s="292"/>
      <c r="N115" s="292"/>
      <c r="O115" s="292"/>
      <c r="P115" s="292"/>
      <c r="Q115" s="292"/>
      <c r="R115" s="292"/>
      <c r="S115" s="292"/>
      <c r="T115" s="292"/>
      <c r="U115" s="292"/>
      <c r="V115" s="292"/>
      <c r="W115" s="292"/>
      <c r="X115" s="292"/>
      <c r="Y115" s="292"/>
      <c r="Z115" s="292"/>
      <c r="AA115" s="292"/>
      <c r="AB115" s="292"/>
      <c r="AC115" s="292"/>
      <c r="AD115" s="292"/>
      <c r="AE115" s="292"/>
      <c r="AF115" s="292"/>
      <c r="AG115" s="292"/>
      <c r="AH115" s="292"/>
      <c r="AI115" s="292"/>
      <c r="AJ115" s="292"/>
      <c r="AK115" s="292"/>
      <c r="AL115" s="292"/>
      <c r="AM115" s="292"/>
      <c r="AN115" s="292"/>
      <c r="AO115" s="292"/>
      <c r="AP115" s="292"/>
      <c r="AQ115" s="292"/>
      <c r="AR115" s="292"/>
      <c r="AS115" s="292"/>
    </row>
    <row r="116" spans="2:45" x14ac:dyDescent="0.2">
      <c r="B116" s="292"/>
      <c r="C116" s="292"/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92"/>
      <c r="P116" s="292"/>
      <c r="Q116" s="292"/>
      <c r="R116" s="292"/>
      <c r="S116" s="292"/>
      <c r="T116" s="292"/>
      <c r="U116" s="292"/>
      <c r="V116" s="292"/>
      <c r="W116" s="292"/>
      <c r="X116" s="292"/>
      <c r="Y116" s="292"/>
      <c r="Z116" s="292"/>
      <c r="AA116" s="292"/>
      <c r="AB116" s="292"/>
      <c r="AC116" s="292"/>
      <c r="AD116" s="292"/>
      <c r="AE116" s="292"/>
      <c r="AF116" s="292"/>
      <c r="AG116" s="292"/>
      <c r="AH116" s="292"/>
      <c r="AI116" s="292"/>
      <c r="AJ116" s="292"/>
      <c r="AK116" s="292"/>
      <c r="AL116" s="292"/>
      <c r="AM116" s="292"/>
      <c r="AN116" s="292"/>
      <c r="AO116" s="292"/>
      <c r="AP116" s="292"/>
      <c r="AQ116" s="292"/>
      <c r="AR116" s="292"/>
      <c r="AS116" s="292"/>
    </row>
    <row r="117" spans="2:45" x14ac:dyDescent="0.2">
      <c r="B117" s="292"/>
      <c r="C117" s="292"/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2"/>
      <c r="P117" s="292"/>
      <c r="Q117" s="292"/>
      <c r="R117" s="292"/>
      <c r="S117" s="292"/>
      <c r="T117" s="292"/>
      <c r="U117" s="292"/>
      <c r="V117" s="292"/>
      <c r="W117" s="292"/>
      <c r="X117" s="292"/>
      <c r="Y117" s="292"/>
      <c r="Z117" s="292"/>
      <c r="AA117" s="292"/>
      <c r="AB117" s="292"/>
      <c r="AC117" s="292"/>
      <c r="AD117" s="292"/>
      <c r="AE117" s="292"/>
      <c r="AF117" s="292"/>
      <c r="AG117" s="292"/>
      <c r="AH117" s="292"/>
      <c r="AI117" s="292"/>
      <c r="AJ117" s="292"/>
      <c r="AK117" s="292"/>
      <c r="AL117" s="292"/>
      <c r="AM117" s="292"/>
      <c r="AN117" s="292"/>
      <c r="AO117" s="292"/>
      <c r="AP117" s="292"/>
      <c r="AQ117" s="292"/>
      <c r="AR117" s="292"/>
      <c r="AS117" s="292"/>
    </row>
    <row r="118" spans="2:45" x14ac:dyDescent="0.2"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2"/>
      <c r="U118" s="292"/>
      <c r="V118" s="292"/>
      <c r="W118" s="292"/>
      <c r="X118" s="292"/>
      <c r="Y118" s="292"/>
      <c r="Z118" s="292"/>
      <c r="AA118" s="292"/>
      <c r="AB118" s="292"/>
      <c r="AC118" s="292"/>
      <c r="AD118" s="292"/>
      <c r="AE118" s="292"/>
      <c r="AF118" s="292"/>
      <c r="AG118" s="292"/>
      <c r="AH118" s="292"/>
      <c r="AI118" s="292"/>
      <c r="AJ118" s="292"/>
      <c r="AK118" s="292"/>
      <c r="AL118" s="292"/>
      <c r="AM118" s="292"/>
      <c r="AN118" s="292"/>
      <c r="AO118" s="292"/>
      <c r="AP118" s="292"/>
      <c r="AQ118" s="292"/>
      <c r="AR118" s="292"/>
      <c r="AS118" s="292"/>
    </row>
    <row r="119" spans="2:45" x14ac:dyDescent="0.2">
      <c r="B119" s="292" t="s">
        <v>122</v>
      </c>
      <c r="C119" s="292"/>
      <c r="D119" s="292"/>
      <c r="E119" s="292"/>
      <c r="F119" s="292"/>
      <c r="G119" s="292"/>
      <c r="H119" s="292"/>
      <c r="I119" s="292"/>
      <c r="J119" s="292"/>
      <c r="K119" s="292"/>
      <c r="L119" s="292"/>
      <c r="M119" s="292"/>
      <c r="N119" s="292"/>
      <c r="O119" s="292"/>
      <c r="P119" s="292"/>
      <c r="Q119" s="292"/>
      <c r="R119" s="292"/>
      <c r="S119" s="292"/>
      <c r="T119" s="292"/>
      <c r="U119" s="292"/>
      <c r="V119" s="292"/>
      <c r="W119" s="292"/>
      <c r="X119" s="292"/>
      <c r="Y119" s="292"/>
      <c r="Z119" s="292"/>
      <c r="AA119" s="292"/>
      <c r="AB119" s="292"/>
      <c r="AC119" s="292"/>
      <c r="AD119" s="292"/>
      <c r="AE119" s="292"/>
      <c r="AF119" s="292"/>
      <c r="AG119" s="292"/>
      <c r="AH119" s="292"/>
      <c r="AI119" s="292"/>
      <c r="AJ119" s="292"/>
      <c r="AK119" s="292"/>
      <c r="AL119" s="292"/>
      <c r="AM119" s="292"/>
      <c r="AN119" s="292"/>
      <c r="AO119" s="292"/>
      <c r="AP119" s="292"/>
      <c r="AQ119" s="292"/>
      <c r="AR119" s="292"/>
      <c r="AS119" s="292"/>
    </row>
  </sheetData>
  <conditionalFormatting sqref="E3:E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{AB9FE511-8284-477A-95B5-67937B6E8A7F}</x14:id>
        </ext>
      </extLst>
    </cfRule>
  </conditionalFormatting>
  <conditionalFormatting sqref="L3:L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{491D6949-ADBA-4BD0-AB93-46BFD5CA37FB}</x14:id>
        </ext>
      </extLst>
    </cfRule>
  </conditionalFormatting>
  <conditionalFormatting sqref="S3:S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:AB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K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3:AN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3:AQ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9FE511-8284-477A-95B5-67937B6E8A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E3:E6</xm:sqref>
        </x14:conditionalFormatting>
        <x14:conditionalFormatting xmlns:xm="http://schemas.microsoft.com/office/excel/2006/main">
          <x14:cfRule type="dataBar" id="{491D6949-ADBA-4BD0-AB93-46BFD5CA37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L3:L6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6E38-1F8F-4F32-9C9C-A128E2277362}">
  <dimension ref="A1:H160"/>
  <sheetViews>
    <sheetView zoomScale="90" zoomScaleNormal="90" workbookViewId="0">
      <selection activeCell="D16" sqref="D16"/>
    </sheetView>
  </sheetViews>
  <sheetFormatPr baseColWidth="10" defaultColWidth="8.83203125" defaultRowHeight="15" x14ac:dyDescent="0.2"/>
  <cols>
    <col min="1" max="1" width="38.1640625" customWidth="1"/>
    <col min="2" max="8" width="9.33203125" bestFit="1" customWidth="1"/>
  </cols>
  <sheetData>
    <row r="1" spans="1:8" ht="17" x14ac:dyDescent="0.2">
      <c r="A1" s="26" t="s">
        <v>81</v>
      </c>
      <c r="B1" s="27">
        <v>45748</v>
      </c>
      <c r="C1" s="27">
        <v>45778</v>
      </c>
      <c r="D1" s="27">
        <v>45809</v>
      </c>
      <c r="E1" s="27">
        <v>45839</v>
      </c>
      <c r="F1" s="27">
        <v>45870</v>
      </c>
      <c r="G1" s="27">
        <v>45901</v>
      </c>
      <c r="H1" s="27">
        <v>45931</v>
      </c>
    </row>
    <row r="2" spans="1:8" ht="17" x14ac:dyDescent="0.2">
      <c r="A2" s="28" t="s">
        <v>12</v>
      </c>
      <c r="B2" s="29">
        <v>18366.548462512092</v>
      </c>
      <c r="C2" s="29">
        <v>18769.305077133253</v>
      </c>
      <c r="D2" s="29">
        <v>19397.970787669885</v>
      </c>
      <c r="E2" s="29">
        <v>19653.316709570718</v>
      </c>
      <c r="F2" s="29">
        <v>20216.286728494528</v>
      </c>
      <c r="G2" s="29">
        <v>20886.544457684915</v>
      </c>
      <c r="H2" s="29">
        <v>21163.617171105634</v>
      </c>
    </row>
    <row r="3" spans="1:8" ht="17" x14ac:dyDescent="0.2">
      <c r="A3" s="20" t="s">
        <v>82</v>
      </c>
      <c r="B3" s="17">
        <v>15940.429359034806</v>
      </c>
      <c r="C3" s="17">
        <v>16197.915273173248</v>
      </c>
      <c r="D3" s="17">
        <v>17388.60538323989</v>
      </c>
      <c r="E3" s="17">
        <v>17350.770995550716</v>
      </c>
      <c r="F3" s="17">
        <v>17898.926002392971</v>
      </c>
      <c r="G3" s="17">
        <v>18482.011091327575</v>
      </c>
      <c r="H3" s="17">
        <v>18468.657021405634</v>
      </c>
    </row>
    <row r="4" spans="1:8" ht="17" x14ac:dyDescent="0.2">
      <c r="A4" s="21" t="s">
        <v>83</v>
      </c>
      <c r="B4" s="17">
        <v>1691.0664922872843</v>
      </c>
      <c r="C4" s="17">
        <v>1932.0717628000016</v>
      </c>
      <c r="D4" s="17">
        <v>1384.9674125799979</v>
      </c>
      <c r="E4" s="17">
        <v>1630.0526530499983</v>
      </c>
      <c r="F4" s="17">
        <v>1637.5848595015584</v>
      </c>
      <c r="G4" s="17">
        <v>1786.2884010173416</v>
      </c>
      <c r="H4" s="17">
        <v>1949.5768540299996</v>
      </c>
    </row>
    <row r="5" spans="1:8" ht="17" x14ac:dyDescent="0.2">
      <c r="A5" s="22" t="s">
        <v>84</v>
      </c>
      <c r="B5" s="17">
        <v>393.08673394000067</v>
      </c>
      <c r="C5" s="17">
        <v>314.76071967000024</v>
      </c>
      <c r="D5" s="17">
        <v>324.40967137999996</v>
      </c>
      <c r="E5" s="17">
        <v>338.82405717999978</v>
      </c>
      <c r="F5" s="17">
        <v>333.89398433000042</v>
      </c>
      <c r="G5" s="17">
        <v>303.33637721999992</v>
      </c>
      <c r="H5" s="17">
        <v>377.20665037000089</v>
      </c>
    </row>
    <row r="6" spans="1:8" ht="17" x14ac:dyDescent="0.2">
      <c r="A6" s="22" t="s">
        <v>85</v>
      </c>
      <c r="B6" s="17">
        <v>165.26167388999971</v>
      </c>
      <c r="C6" s="17">
        <v>154.38550548000006</v>
      </c>
      <c r="D6" s="17">
        <v>134.53604107000001</v>
      </c>
      <c r="E6" s="17">
        <v>146.05023997000012</v>
      </c>
      <c r="F6" s="17">
        <v>149.80845274999987</v>
      </c>
      <c r="G6" s="17">
        <v>146.89914247999999</v>
      </c>
      <c r="H6" s="17">
        <v>173.39933579999999</v>
      </c>
    </row>
    <row r="7" spans="1:8" ht="17" x14ac:dyDescent="0.2">
      <c r="A7" s="22" t="s">
        <v>86</v>
      </c>
      <c r="B7" s="17">
        <v>72.095434519999969</v>
      </c>
      <c r="C7" s="17">
        <v>71.402186450000016</v>
      </c>
      <c r="D7" s="17">
        <v>52.646886149999993</v>
      </c>
      <c r="E7" s="17">
        <v>76.145374400000065</v>
      </c>
      <c r="F7" s="17">
        <v>81.68810430000002</v>
      </c>
      <c r="G7" s="17">
        <v>56.919576400000004</v>
      </c>
      <c r="H7" s="17">
        <v>76.01396584999992</v>
      </c>
    </row>
    <row r="8" spans="1:8" ht="17" x14ac:dyDescent="0.2">
      <c r="A8" s="22" t="s">
        <v>87</v>
      </c>
      <c r="B8" s="17">
        <v>46.418025149999991</v>
      </c>
      <c r="C8" s="17">
        <v>41.38858387999997</v>
      </c>
      <c r="D8" s="17">
        <v>54.34600373</v>
      </c>
      <c r="E8" s="17">
        <v>46.760169719999986</v>
      </c>
      <c r="F8" s="17">
        <v>47.222491109999979</v>
      </c>
      <c r="G8" s="17">
        <v>53.890257529999978</v>
      </c>
      <c r="H8" s="17">
        <v>48.857142919999994</v>
      </c>
    </row>
    <row r="9" spans="1:8" ht="17" x14ac:dyDescent="0.2">
      <c r="A9" s="23" t="s">
        <v>88</v>
      </c>
      <c r="B9" s="17">
        <v>35.917208180000003</v>
      </c>
      <c r="C9" s="17">
        <v>38.2884411</v>
      </c>
      <c r="D9" s="17">
        <v>37.559840150000007</v>
      </c>
      <c r="E9" s="17">
        <v>43.373584309999998</v>
      </c>
      <c r="F9" s="17">
        <v>38.212913119999996</v>
      </c>
      <c r="G9" s="17">
        <v>40.127481230000029</v>
      </c>
      <c r="H9" s="17">
        <v>42.786735080000021</v>
      </c>
    </row>
    <row r="10" spans="1:8" ht="17" x14ac:dyDescent="0.2">
      <c r="A10" s="23" t="s">
        <v>89</v>
      </c>
      <c r="B10" s="17">
        <v>22.273535509999995</v>
      </c>
      <c r="C10" s="17">
        <v>19.092604580000007</v>
      </c>
      <c r="D10" s="17">
        <v>20.89954937000001</v>
      </c>
      <c r="E10" s="17">
        <v>21.339635390000002</v>
      </c>
      <c r="F10" s="17">
        <v>28.949920989999999</v>
      </c>
      <c r="G10" s="17">
        <v>17.072130479999998</v>
      </c>
      <c r="H10" s="17">
        <v>27.119465649999981</v>
      </c>
    </row>
    <row r="11" spans="1:8" ht="17" x14ac:dyDescent="0.2">
      <c r="A11" s="25" t="s">
        <v>90</v>
      </c>
      <c r="B11" s="17"/>
      <c r="C11" s="17"/>
      <c r="D11" s="17"/>
      <c r="E11" s="17"/>
      <c r="F11" s="17"/>
      <c r="G11" s="17"/>
      <c r="H11" s="17"/>
    </row>
    <row r="12" spans="1:8" ht="17" x14ac:dyDescent="0.2">
      <c r="A12" s="24" t="s">
        <v>91</v>
      </c>
      <c r="B12" s="18">
        <v>0.38051664000000007</v>
      </c>
      <c r="C12" s="18">
        <v>14.232225960000003</v>
      </c>
      <c r="D12" s="18">
        <v>21.245600810000003</v>
      </c>
      <c r="E12" s="18">
        <v>4.8229155200000005</v>
      </c>
      <c r="F12" s="18">
        <v>25.22319426</v>
      </c>
      <c r="G12" s="18"/>
      <c r="H12" s="18"/>
    </row>
    <row r="13" spans="1:8" ht="17" x14ac:dyDescent="0.2">
      <c r="A13" s="20" t="s">
        <v>92</v>
      </c>
      <c r="B13" s="19" t="e">
        <v>#VALUE!</v>
      </c>
      <c r="C13" s="19">
        <v>0.12120575420416334</v>
      </c>
      <c r="D13" s="19">
        <v>8.5502818679003764E-2</v>
      </c>
      <c r="E13" s="19">
        <v>9.3742575504136408E-2</v>
      </c>
      <c r="F13" s="19">
        <v>9.4381100408822569E-2</v>
      </c>
      <c r="G13" s="19">
        <v>9.9798636006346211E-2</v>
      </c>
      <c r="H13" s="19">
        <v>0.1054851035634759</v>
      </c>
    </row>
    <row r="14" spans="1:8" ht="17" x14ac:dyDescent="0.2">
      <c r="A14" s="20" t="s">
        <v>93</v>
      </c>
      <c r="B14" s="19" t="e">
        <v>#VALUE!</v>
      </c>
      <c r="C14" s="19">
        <v>0.18613148631681811</v>
      </c>
      <c r="D14" s="19">
        <v>0.16790767176777027</v>
      </c>
      <c r="E14" s="19">
        <v>0.24464406462013327</v>
      </c>
      <c r="F14" s="19">
        <v>0.20483631844974456</v>
      </c>
      <c r="G14" s="19">
        <v>0.18523398983569514</v>
      </c>
      <c r="H14" s="19">
        <v>0.2111678327839844</v>
      </c>
    </row>
    <row r="15" spans="1:8" ht="17" x14ac:dyDescent="0.2">
      <c r="A15" s="20" t="s">
        <v>94</v>
      </c>
      <c r="B15" s="19" t="e">
        <v>#VALUE!</v>
      </c>
      <c r="C15" s="19">
        <v>0.39275175718233446</v>
      </c>
      <c r="D15" s="19">
        <v>0.42742322234823193</v>
      </c>
      <c r="E15" s="19">
        <v>0.45020310075442527</v>
      </c>
      <c r="F15" s="19">
        <v>0.44214231420531735</v>
      </c>
      <c r="G15" s="19">
        <v>0.43995743970880846</v>
      </c>
      <c r="H15" s="19">
        <v>0.57164042568570383</v>
      </c>
    </row>
    <row r="16" spans="1:8" ht="17" x14ac:dyDescent="0.2">
      <c r="A16" s="20" t="s">
        <v>95</v>
      </c>
      <c r="B16" s="19" t="e">
        <v>#VALUE!</v>
      </c>
      <c r="C16" s="19">
        <v>0.4320553263760733</v>
      </c>
      <c r="D16" s="19">
        <v>0.34100925463381765</v>
      </c>
      <c r="E16" s="19">
        <v>0.56598494941872945</v>
      </c>
      <c r="F16" s="19">
        <v>0.55931509812499736</v>
      </c>
      <c r="G16" s="19">
        <v>0.37994903061302765</v>
      </c>
      <c r="H16" s="19">
        <v>0.51745683852680802</v>
      </c>
    </row>
    <row r="17" spans="1:8" ht="17" x14ac:dyDescent="0.2">
      <c r="A17" s="20" t="s">
        <v>96</v>
      </c>
      <c r="B17" s="19" t="e">
        <v>#VALUE!</v>
      </c>
      <c r="C17" s="19">
        <v>0.57408051086117495</v>
      </c>
      <c r="D17" s="19">
        <v>0.76112520403077921</v>
      </c>
      <c r="E17" s="19">
        <v>0.88818490777920378</v>
      </c>
      <c r="F17" s="19">
        <v>0.6201623077185886</v>
      </c>
      <c r="G17" s="19">
        <v>0.65970753014524253</v>
      </c>
      <c r="H17" s="19">
        <v>0.85835394446118873</v>
      </c>
    </row>
    <row r="18" spans="1:8" ht="17" x14ac:dyDescent="0.2">
      <c r="A18" s="20" t="s">
        <v>97</v>
      </c>
      <c r="B18" s="19" t="e">
        <v>#VALUE!</v>
      </c>
      <c r="C18" s="19">
        <v>0.82486148379365098</v>
      </c>
      <c r="D18" s="19">
        <v>0.90749275836301058</v>
      </c>
      <c r="E18" s="19">
        <v>0.798100712712699</v>
      </c>
      <c r="F18" s="19">
        <v>0.81721074471754518</v>
      </c>
      <c r="G18" s="19">
        <v>0.84975358747015595</v>
      </c>
      <c r="H18" s="19">
        <v>0.79396048638626793</v>
      </c>
    </row>
    <row r="19" spans="1:8" ht="17" x14ac:dyDescent="0.2">
      <c r="A19" s="20" t="s">
        <v>98</v>
      </c>
      <c r="B19" s="19" t="e">
        <v>#VALUE!</v>
      </c>
      <c r="C19" s="19">
        <f>C13*C14*C15*C16*C17*C18</f>
        <v>1.812818866873073E-3</v>
      </c>
      <c r="D19" s="19">
        <f t="shared" ref="D19:H19" si="0">D13*D14*D15*D16*D17*D18</f>
        <v>1.4453549786447937E-3</v>
      </c>
      <c r="E19" s="19">
        <f t="shared" si="0"/>
        <v>4.1423426209835947E-3</v>
      </c>
      <c r="F19" s="19">
        <f t="shared" si="0"/>
        <v>2.4229812658712528E-3</v>
      </c>
      <c r="G19" s="19">
        <f t="shared" si="0"/>
        <v>1.7323105161760753E-3</v>
      </c>
      <c r="H19" s="19">
        <f t="shared" si="0"/>
        <v>4.4903610022671613E-3</v>
      </c>
    </row>
    <row r="21" spans="1:8" ht="17" x14ac:dyDescent="0.2">
      <c r="A21" s="26" t="s">
        <v>99</v>
      </c>
      <c r="B21" s="27">
        <v>45748</v>
      </c>
      <c r="C21" s="27">
        <v>45778</v>
      </c>
      <c r="D21" s="27">
        <v>45809</v>
      </c>
      <c r="E21" s="27">
        <v>45839</v>
      </c>
      <c r="F21" s="27">
        <v>45870</v>
      </c>
      <c r="G21" s="27">
        <v>45901</v>
      </c>
      <c r="H21" s="27">
        <v>45931</v>
      </c>
    </row>
    <row r="22" spans="1:8" ht="17" x14ac:dyDescent="0.2">
      <c r="A22" s="28" t="s">
        <v>12</v>
      </c>
      <c r="B22" s="29">
        <v>18366.548462512092</v>
      </c>
      <c r="C22" s="29">
        <v>18769.305077133253</v>
      </c>
      <c r="D22" s="29">
        <v>19397.970787669885</v>
      </c>
      <c r="E22" s="29">
        <v>19653.316709570718</v>
      </c>
      <c r="F22" s="29">
        <v>20216.286728494528</v>
      </c>
      <c r="G22" s="29">
        <v>20886.544457684915</v>
      </c>
      <c r="H22" s="29">
        <v>21163.617171105634</v>
      </c>
    </row>
    <row r="23" spans="1:8" ht="17" x14ac:dyDescent="0.2">
      <c r="A23" s="20" t="s">
        <v>82</v>
      </c>
      <c r="B23" s="17">
        <v>15940.429359034806</v>
      </c>
      <c r="C23" s="17">
        <v>16197.915273173248</v>
      </c>
      <c r="D23" s="17">
        <v>17388.60538323989</v>
      </c>
      <c r="E23" s="17">
        <v>17350.770995550716</v>
      </c>
      <c r="F23" s="17">
        <v>17898.926002392971</v>
      </c>
      <c r="G23" s="17">
        <v>18482.011091327575</v>
      </c>
      <c r="H23" s="17">
        <v>18468.657021405634</v>
      </c>
    </row>
    <row r="24" spans="1:8" ht="17" x14ac:dyDescent="0.2">
      <c r="A24" s="21" t="s">
        <v>83</v>
      </c>
      <c r="B24" s="17">
        <v>1691.0664922872843</v>
      </c>
      <c r="C24" s="17">
        <v>1932.0717628000016</v>
      </c>
      <c r="D24" s="17">
        <v>1384.9674125799979</v>
      </c>
      <c r="E24" s="17">
        <v>1630.0526530499983</v>
      </c>
      <c r="F24" s="17">
        <v>1637.5848595015584</v>
      </c>
      <c r="G24" s="17">
        <v>1786.2884010173416</v>
      </c>
      <c r="H24" s="17">
        <v>1949.5768540299996</v>
      </c>
    </row>
    <row r="25" spans="1:8" ht="17" x14ac:dyDescent="0.2">
      <c r="A25" s="22" t="s">
        <v>84</v>
      </c>
      <c r="B25" s="17">
        <v>393.08673394000067</v>
      </c>
      <c r="C25" s="17">
        <v>314.76071967000024</v>
      </c>
      <c r="D25" s="17">
        <v>324.40967137999996</v>
      </c>
      <c r="E25" s="17">
        <v>338.82405717999978</v>
      </c>
      <c r="F25" s="17">
        <v>333.89398433000042</v>
      </c>
      <c r="G25" s="17">
        <v>303.33637721999992</v>
      </c>
      <c r="H25" s="17">
        <v>377.20665037000089</v>
      </c>
    </row>
    <row r="26" spans="1:8" ht="17" x14ac:dyDescent="0.2">
      <c r="A26" s="22" t="s">
        <v>85</v>
      </c>
      <c r="B26" s="17">
        <v>165.26167388999971</v>
      </c>
      <c r="C26" s="17">
        <v>154.38550548000006</v>
      </c>
      <c r="D26" s="17">
        <v>134.53604107000001</v>
      </c>
      <c r="E26" s="17">
        <v>146.05023997000012</v>
      </c>
      <c r="F26" s="17">
        <v>149.80845274999987</v>
      </c>
      <c r="G26" s="17">
        <v>146.89914247999999</v>
      </c>
      <c r="H26" s="17">
        <v>173.39933579999999</v>
      </c>
    </row>
    <row r="27" spans="1:8" ht="17" x14ac:dyDescent="0.2">
      <c r="A27" s="22" t="s">
        <v>86</v>
      </c>
      <c r="B27" s="17">
        <v>72.095434519999969</v>
      </c>
      <c r="C27" s="17">
        <v>71.402186450000016</v>
      </c>
      <c r="D27" s="17">
        <v>52.646886149999993</v>
      </c>
      <c r="E27" s="17">
        <v>76.145374400000065</v>
      </c>
      <c r="F27" s="17">
        <v>81.68810430000002</v>
      </c>
      <c r="G27" s="17">
        <v>56.919576400000004</v>
      </c>
      <c r="H27" s="17">
        <v>76.01396584999992</v>
      </c>
    </row>
    <row r="28" spans="1:8" ht="17" x14ac:dyDescent="0.2">
      <c r="A28" s="22" t="s">
        <v>87</v>
      </c>
      <c r="B28" s="17">
        <v>46.418025149999991</v>
      </c>
      <c r="C28" s="17">
        <v>41.38858387999997</v>
      </c>
      <c r="D28" s="17">
        <v>54.34600373</v>
      </c>
      <c r="E28" s="17">
        <v>46.760169719999986</v>
      </c>
      <c r="F28" s="17">
        <v>47.222491109999979</v>
      </c>
      <c r="G28" s="17">
        <v>53.890257529999978</v>
      </c>
      <c r="H28" s="17">
        <v>48.857142919999994</v>
      </c>
    </row>
    <row r="29" spans="1:8" ht="17" x14ac:dyDescent="0.2">
      <c r="A29" s="23" t="s">
        <v>88</v>
      </c>
      <c r="B29" s="17">
        <v>35.917208180000003</v>
      </c>
      <c r="C29" s="17">
        <v>38.2884411</v>
      </c>
      <c r="D29" s="17">
        <v>37.559840150000007</v>
      </c>
      <c r="E29" s="17">
        <v>43.373584309999998</v>
      </c>
      <c r="F29" s="17">
        <v>38.212913119999996</v>
      </c>
      <c r="G29" s="17">
        <v>40.127481230000029</v>
      </c>
      <c r="H29" s="17">
        <v>42.786735080000021</v>
      </c>
    </row>
    <row r="30" spans="1:8" ht="17" x14ac:dyDescent="0.2">
      <c r="A30" s="23" t="s">
        <v>89</v>
      </c>
      <c r="B30" s="17">
        <v>22.273535509999995</v>
      </c>
      <c r="C30" s="17">
        <v>19.092604580000007</v>
      </c>
      <c r="D30" s="17">
        <v>20.89954937000001</v>
      </c>
      <c r="E30" s="17">
        <v>21.339635390000002</v>
      </c>
      <c r="F30" s="17">
        <v>28.949920989999999</v>
      </c>
      <c r="G30" s="17">
        <v>17.072130479999998</v>
      </c>
      <c r="H30" s="17">
        <v>27.119465649999981</v>
      </c>
    </row>
    <row r="31" spans="1:8" ht="17" x14ac:dyDescent="0.2">
      <c r="A31" s="25" t="s">
        <v>90</v>
      </c>
      <c r="B31" s="17"/>
      <c r="C31" s="17"/>
      <c r="D31" s="17"/>
      <c r="E31" s="17"/>
      <c r="F31" s="17"/>
      <c r="G31" s="17"/>
      <c r="H31" s="17"/>
    </row>
    <row r="32" spans="1:8" ht="17" x14ac:dyDescent="0.2">
      <c r="A32" s="24" t="s">
        <v>91</v>
      </c>
      <c r="B32" s="18">
        <v>0.38051664000000007</v>
      </c>
      <c r="C32" s="18">
        <v>14.232225960000003</v>
      </c>
      <c r="D32" s="18">
        <v>21.245600810000003</v>
      </c>
      <c r="E32" s="18">
        <v>4.8229155200000005</v>
      </c>
      <c r="F32" s="18">
        <v>25.22319426</v>
      </c>
      <c r="G32" s="18"/>
      <c r="H32" s="18"/>
    </row>
    <row r="33" spans="1:8" ht="17" x14ac:dyDescent="0.2">
      <c r="A33" s="20" t="s">
        <v>92</v>
      </c>
      <c r="B33" s="19" t="e">
        <v>#VALUE!</v>
      </c>
      <c r="C33" s="19">
        <v>0.12120575420416334</v>
      </c>
      <c r="D33" s="19">
        <v>8.5502818679003764E-2</v>
      </c>
      <c r="E33" s="19">
        <v>9.3742575504136408E-2</v>
      </c>
      <c r="F33" s="19">
        <v>9.4381100408822569E-2</v>
      </c>
      <c r="G33" s="19">
        <v>9.9798636006346211E-2</v>
      </c>
      <c r="H33" s="19">
        <v>0.1054851035634759</v>
      </c>
    </row>
    <row r="34" spans="1:8" ht="17" x14ac:dyDescent="0.2">
      <c r="A34" s="20" t="s">
        <v>93</v>
      </c>
      <c r="B34" s="19" t="e">
        <v>#VALUE!</v>
      </c>
      <c r="C34" s="19">
        <v>0.18613148631681811</v>
      </c>
      <c r="D34" s="19">
        <v>0.16790767176777027</v>
      </c>
      <c r="E34" s="19">
        <v>0.24464406462013327</v>
      </c>
      <c r="F34" s="19">
        <v>0.20483631844974456</v>
      </c>
      <c r="G34" s="19">
        <v>0.18523398983569514</v>
      </c>
      <c r="H34" s="19">
        <v>0.2111678327839844</v>
      </c>
    </row>
    <row r="35" spans="1:8" ht="17" x14ac:dyDescent="0.2">
      <c r="A35" s="20" t="s">
        <v>94</v>
      </c>
      <c r="B35" s="19" t="e">
        <v>#VALUE!</v>
      </c>
      <c r="C35" s="19">
        <v>0.39275175718233446</v>
      </c>
      <c r="D35" s="19">
        <v>0.42742322234823193</v>
      </c>
      <c r="E35" s="19">
        <v>0.45020310075442527</v>
      </c>
      <c r="F35" s="19">
        <v>0.44214231420531735</v>
      </c>
      <c r="G35" s="19">
        <v>0.43995743970880846</v>
      </c>
      <c r="H35" s="19">
        <v>0.57164042568570383</v>
      </c>
    </row>
    <row r="36" spans="1:8" ht="17" x14ac:dyDescent="0.2">
      <c r="A36" s="20" t="s">
        <v>95</v>
      </c>
      <c r="B36" s="19" t="e">
        <v>#VALUE!</v>
      </c>
      <c r="C36" s="19">
        <v>0.4320553263760733</v>
      </c>
      <c r="D36" s="19">
        <v>0.34100925463381765</v>
      </c>
      <c r="E36" s="19">
        <v>0.56598494941872945</v>
      </c>
      <c r="F36" s="19">
        <v>0.55931509812499736</v>
      </c>
      <c r="G36" s="19">
        <v>0.37994903061302765</v>
      </c>
      <c r="H36" s="19">
        <v>0.51745683852680802</v>
      </c>
    </row>
    <row r="37" spans="1:8" ht="17" x14ac:dyDescent="0.2">
      <c r="A37" s="20" t="s">
        <v>96</v>
      </c>
      <c r="B37" s="19" t="e">
        <v>#VALUE!</v>
      </c>
      <c r="C37" s="19">
        <v>0.57408051086117495</v>
      </c>
      <c r="D37" s="19">
        <v>0.76112520403077921</v>
      </c>
      <c r="E37" s="19">
        <v>0.88818490777920378</v>
      </c>
      <c r="F37" s="19">
        <v>0.6201623077185886</v>
      </c>
      <c r="G37" s="19">
        <v>0.65970753014524253</v>
      </c>
      <c r="H37" s="19">
        <v>0.85835394446118873</v>
      </c>
    </row>
    <row r="38" spans="1:8" ht="17" x14ac:dyDescent="0.2">
      <c r="A38" s="20" t="s">
        <v>97</v>
      </c>
      <c r="B38" s="19" t="e">
        <v>#VALUE!</v>
      </c>
      <c r="C38" s="19">
        <v>0.82486148379365098</v>
      </c>
      <c r="D38" s="19">
        <v>0.90749275836301058</v>
      </c>
      <c r="E38" s="19">
        <v>0.798100712712699</v>
      </c>
      <c r="F38" s="19">
        <v>0.81721074471754518</v>
      </c>
      <c r="G38" s="19">
        <v>0.84975358747015595</v>
      </c>
      <c r="H38" s="19">
        <v>0.79396048638626793</v>
      </c>
    </row>
    <row r="39" spans="1:8" ht="17" x14ac:dyDescent="0.2">
      <c r="A39" s="20" t="s">
        <v>98</v>
      </c>
      <c r="B39" s="19" t="e">
        <v>#VALUE!</v>
      </c>
      <c r="C39" s="19">
        <f>C33*C34*C35*C36*C37*C38</f>
        <v>1.812818866873073E-3</v>
      </c>
      <c r="D39" s="19">
        <f t="shared" ref="D39" si="1">D33*D34*D35*D36*D37*D38</f>
        <v>1.4453549786447937E-3</v>
      </c>
      <c r="E39" s="19">
        <f t="shared" ref="E39" si="2">E33*E34*E35*E36*E37*E38</f>
        <v>4.1423426209835947E-3</v>
      </c>
      <c r="F39" s="19">
        <f t="shared" ref="F39" si="3">F33*F34*F35*F36*F37*F38</f>
        <v>2.4229812658712528E-3</v>
      </c>
      <c r="G39" s="19">
        <f t="shared" ref="G39" si="4">G33*G34*G35*G36*G37*G38</f>
        <v>1.7323105161760753E-3</v>
      </c>
      <c r="H39" s="19">
        <f t="shared" ref="H39" si="5">H33*H34*H35*H36*H37*H38</f>
        <v>4.4903610022671613E-3</v>
      </c>
    </row>
    <row r="41" spans="1:8" ht="17" x14ac:dyDescent="0.2">
      <c r="A41" s="26" t="s">
        <v>100</v>
      </c>
      <c r="B41" s="27">
        <v>45748</v>
      </c>
      <c r="C41" s="27">
        <v>45778</v>
      </c>
      <c r="D41" s="27">
        <v>45809</v>
      </c>
      <c r="E41" s="27">
        <v>45839</v>
      </c>
      <c r="F41" s="27">
        <v>45870</v>
      </c>
      <c r="G41" s="27">
        <v>45901</v>
      </c>
      <c r="H41" s="27">
        <v>45931</v>
      </c>
    </row>
    <row r="42" spans="1:8" ht="17" x14ac:dyDescent="0.2">
      <c r="A42" s="28" t="s">
        <v>12</v>
      </c>
      <c r="B42" s="29">
        <v>18366.548462512092</v>
      </c>
      <c r="C42" s="29">
        <v>18769.305077133253</v>
      </c>
      <c r="D42" s="29">
        <v>19397.970787669885</v>
      </c>
      <c r="E42" s="29">
        <v>19653.316709570718</v>
      </c>
      <c r="F42" s="29">
        <v>20216.286728494528</v>
      </c>
      <c r="G42" s="29">
        <v>20886.544457684915</v>
      </c>
      <c r="H42" s="29">
        <v>21163.617171105634</v>
      </c>
    </row>
    <row r="43" spans="1:8" ht="17" x14ac:dyDescent="0.2">
      <c r="A43" s="20" t="s">
        <v>82</v>
      </c>
      <c r="B43" s="17">
        <v>15940.429359034806</v>
      </c>
      <c r="C43" s="17">
        <v>16197.915273173248</v>
      </c>
      <c r="D43" s="17">
        <v>17388.60538323989</v>
      </c>
      <c r="E43" s="17">
        <v>17350.770995550716</v>
      </c>
      <c r="F43" s="17">
        <v>17898.926002392971</v>
      </c>
      <c r="G43" s="17">
        <v>18482.011091327575</v>
      </c>
      <c r="H43" s="17">
        <v>18468.657021405634</v>
      </c>
    </row>
    <row r="44" spans="1:8" ht="17" x14ac:dyDescent="0.2">
      <c r="A44" s="21" t="s">
        <v>83</v>
      </c>
      <c r="B44" s="17">
        <v>1691.0664922872843</v>
      </c>
      <c r="C44" s="17">
        <v>1932.0717628000016</v>
      </c>
      <c r="D44" s="17">
        <v>1384.9674125799979</v>
      </c>
      <c r="E44" s="17">
        <v>1630.0526530499983</v>
      </c>
      <c r="F44" s="17">
        <v>1637.5848595015584</v>
      </c>
      <c r="G44" s="17">
        <v>1786.2884010173416</v>
      </c>
      <c r="H44" s="17">
        <v>1949.5768540299996</v>
      </c>
    </row>
    <row r="45" spans="1:8" ht="17" x14ac:dyDescent="0.2">
      <c r="A45" s="22" t="s">
        <v>84</v>
      </c>
      <c r="B45" s="17">
        <v>393.08673394000067</v>
      </c>
      <c r="C45" s="17">
        <v>314.76071967000024</v>
      </c>
      <c r="D45" s="17">
        <v>324.40967137999996</v>
      </c>
      <c r="E45" s="17">
        <v>338.82405717999978</v>
      </c>
      <c r="F45" s="17">
        <v>333.89398433000042</v>
      </c>
      <c r="G45" s="17">
        <v>303.33637721999992</v>
      </c>
      <c r="H45" s="17">
        <v>377.20665037000089</v>
      </c>
    </row>
    <row r="46" spans="1:8" ht="17" x14ac:dyDescent="0.2">
      <c r="A46" s="22" t="s">
        <v>85</v>
      </c>
      <c r="B46" s="17">
        <v>165.26167388999971</v>
      </c>
      <c r="C46" s="17">
        <v>154.38550548000006</v>
      </c>
      <c r="D46" s="17">
        <v>134.53604107000001</v>
      </c>
      <c r="E46" s="17">
        <v>146.05023997000012</v>
      </c>
      <c r="F46" s="17">
        <v>149.80845274999987</v>
      </c>
      <c r="G46" s="17">
        <v>146.89914247999999</v>
      </c>
      <c r="H46" s="17">
        <v>173.39933579999999</v>
      </c>
    </row>
    <row r="47" spans="1:8" ht="17" x14ac:dyDescent="0.2">
      <c r="A47" s="22" t="s">
        <v>86</v>
      </c>
      <c r="B47" s="17">
        <v>72.095434519999969</v>
      </c>
      <c r="C47" s="17">
        <v>71.402186450000016</v>
      </c>
      <c r="D47" s="17">
        <v>52.646886149999993</v>
      </c>
      <c r="E47" s="17">
        <v>76.145374400000065</v>
      </c>
      <c r="F47" s="17">
        <v>81.68810430000002</v>
      </c>
      <c r="G47" s="17">
        <v>56.919576400000004</v>
      </c>
      <c r="H47" s="17">
        <v>76.01396584999992</v>
      </c>
    </row>
    <row r="48" spans="1:8" ht="17" x14ac:dyDescent="0.2">
      <c r="A48" s="22" t="s">
        <v>87</v>
      </c>
      <c r="B48" s="17">
        <v>46.418025149999991</v>
      </c>
      <c r="C48" s="17">
        <v>41.38858387999997</v>
      </c>
      <c r="D48" s="17">
        <v>54.34600373</v>
      </c>
      <c r="E48" s="17">
        <v>46.760169719999986</v>
      </c>
      <c r="F48" s="17">
        <v>47.222491109999979</v>
      </c>
      <c r="G48" s="17">
        <v>53.890257529999978</v>
      </c>
      <c r="H48" s="17">
        <v>48.857142919999994</v>
      </c>
    </row>
    <row r="49" spans="1:8" ht="17" x14ac:dyDescent="0.2">
      <c r="A49" s="23" t="s">
        <v>88</v>
      </c>
      <c r="B49" s="17">
        <v>35.917208180000003</v>
      </c>
      <c r="C49" s="17">
        <v>38.2884411</v>
      </c>
      <c r="D49" s="17">
        <v>37.559840150000007</v>
      </c>
      <c r="E49" s="17">
        <v>43.373584309999998</v>
      </c>
      <c r="F49" s="17">
        <v>38.212913119999996</v>
      </c>
      <c r="G49" s="17">
        <v>40.127481230000029</v>
      </c>
      <c r="H49" s="17">
        <v>42.786735080000021</v>
      </c>
    </row>
    <row r="50" spans="1:8" ht="17" x14ac:dyDescent="0.2">
      <c r="A50" s="23" t="s">
        <v>89</v>
      </c>
      <c r="B50" s="17">
        <v>22.273535509999995</v>
      </c>
      <c r="C50" s="17">
        <v>19.092604580000007</v>
      </c>
      <c r="D50" s="17">
        <v>20.89954937000001</v>
      </c>
      <c r="E50" s="17">
        <v>21.339635390000002</v>
      </c>
      <c r="F50" s="17">
        <v>28.949920989999999</v>
      </c>
      <c r="G50" s="17">
        <v>17.072130479999998</v>
      </c>
      <c r="H50" s="17">
        <v>27.119465649999981</v>
      </c>
    </row>
    <row r="51" spans="1:8" ht="17" x14ac:dyDescent="0.2">
      <c r="A51" s="25" t="s">
        <v>90</v>
      </c>
      <c r="B51" s="17"/>
      <c r="C51" s="17"/>
      <c r="D51" s="17"/>
      <c r="E51" s="17"/>
      <c r="F51" s="17"/>
      <c r="G51" s="17"/>
      <c r="H51" s="17"/>
    </row>
    <row r="52" spans="1:8" ht="17" x14ac:dyDescent="0.2">
      <c r="A52" s="24" t="s">
        <v>91</v>
      </c>
      <c r="B52" s="18">
        <v>0.38051664000000007</v>
      </c>
      <c r="C52" s="18">
        <v>14.232225960000003</v>
      </c>
      <c r="D52" s="18">
        <v>21.245600810000003</v>
      </c>
      <c r="E52" s="18">
        <v>4.8229155200000005</v>
      </c>
      <c r="F52" s="18">
        <v>25.22319426</v>
      </c>
      <c r="G52" s="18"/>
      <c r="H52" s="18"/>
    </row>
    <row r="53" spans="1:8" ht="17" x14ac:dyDescent="0.2">
      <c r="A53" s="20" t="s">
        <v>92</v>
      </c>
      <c r="B53" s="19" t="e">
        <v>#VALUE!</v>
      </c>
      <c r="C53" s="19">
        <v>0.12120575420416334</v>
      </c>
      <c r="D53" s="19">
        <v>8.5502818679003764E-2</v>
      </c>
      <c r="E53" s="19">
        <v>9.3742575504136408E-2</v>
      </c>
      <c r="F53" s="19">
        <v>9.4381100408822569E-2</v>
      </c>
      <c r="G53" s="19">
        <v>9.9798636006346211E-2</v>
      </c>
      <c r="H53" s="19">
        <v>0.1054851035634759</v>
      </c>
    </row>
    <row r="54" spans="1:8" ht="17" x14ac:dyDescent="0.2">
      <c r="A54" s="20" t="s">
        <v>93</v>
      </c>
      <c r="B54" s="19" t="e">
        <v>#VALUE!</v>
      </c>
      <c r="C54" s="19">
        <v>0.18613148631681811</v>
      </c>
      <c r="D54" s="19">
        <v>0.16790767176777027</v>
      </c>
      <c r="E54" s="19">
        <v>0.24464406462013327</v>
      </c>
      <c r="F54" s="19">
        <v>0.20483631844974456</v>
      </c>
      <c r="G54" s="19">
        <v>0.18523398983569514</v>
      </c>
      <c r="H54" s="19">
        <v>0.2111678327839844</v>
      </c>
    </row>
    <row r="55" spans="1:8" ht="17" x14ac:dyDescent="0.2">
      <c r="A55" s="20" t="s">
        <v>94</v>
      </c>
      <c r="B55" s="19" t="e">
        <v>#VALUE!</v>
      </c>
      <c r="C55" s="19">
        <v>0.39275175718233446</v>
      </c>
      <c r="D55" s="19">
        <v>0.42742322234823193</v>
      </c>
      <c r="E55" s="19">
        <v>0.45020310075442527</v>
      </c>
      <c r="F55" s="19">
        <v>0.44214231420531735</v>
      </c>
      <c r="G55" s="19">
        <v>0.43995743970880846</v>
      </c>
      <c r="H55" s="19">
        <v>0.57164042568570383</v>
      </c>
    </row>
    <row r="56" spans="1:8" ht="17" x14ac:dyDescent="0.2">
      <c r="A56" s="20" t="s">
        <v>95</v>
      </c>
      <c r="B56" s="19" t="e">
        <v>#VALUE!</v>
      </c>
      <c r="C56" s="19">
        <v>0.4320553263760733</v>
      </c>
      <c r="D56" s="19">
        <v>0.34100925463381765</v>
      </c>
      <c r="E56" s="19">
        <v>0.56598494941872945</v>
      </c>
      <c r="F56" s="19">
        <v>0.55931509812499736</v>
      </c>
      <c r="G56" s="19">
        <v>0.37994903061302765</v>
      </c>
      <c r="H56" s="19">
        <v>0.51745683852680802</v>
      </c>
    </row>
    <row r="57" spans="1:8" ht="17" x14ac:dyDescent="0.2">
      <c r="A57" s="20" t="s">
        <v>96</v>
      </c>
      <c r="B57" s="19" t="e">
        <v>#VALUE!</v>
      </c>
      <c r="C57" s="19">
        <v>0.57408051086117495</v>
      </c>
      <c r="D57" s="19">
        <v>0.76112520403077921</v>
      </c>
      <c r="E57" s="19">
        <v>0.88818490777920378</v>
      </c>
      <c r="F57" s="19">
        <v>0.6201623077185886</v>
      </c>
      <c r="G57" s="19">
        <v>0.65970753014524253</v>
      </c>
      <c r="H57" s="19">
        <v>0.85835394446118873</v>
      </c>
    </row>
    <row r="58" spans="1:8" ht="17" x14ac:dyDescent="0.2">
      <c r="A58" s="20" t="s">
        <v>97</v>
      </c>
      <c r="B58" s="19" t="e">
        <v>#VALUE!</v>
      </c>
      <c r="C58" s="19">
        <v>0.82486148379365098</v>
      </c>
      <c r="D58" s="19">
        <v>0.90749275836301058</v>
      </c>
      <c r="E58" s="19">
        <v>0.798100712712699</v>
      </c>
      <c r="F58" s="19">
        <v>0.81721074471754518</v>
      </c>
      <c r="G58" s="19">
        <v>0.84975358747015595</v>
      </c>
      <c r="H58" s="19">
        <v>0.79396048638626793</v>
      </c>
    </row>
    <row r="59" spans="1:8" ht="17" x14ac:dyDescent="0.2">
      <c r="A59" s="20" t="s">
        <v>98</v>
      </c>
      <c r="B59" s="19" t="e">
        <v>#VALUE!</v>
      </c>
      <c r="C59" s="19">
        <f>C53*C54*C55*C56*C57*C58</f>
        <v>1.812818866873073E-3</v>
      </c>
      <c r="D59" s="19">
        <f t="shared" ref="D59" si="6">D53*D54*D55*D56*D57*D58</f>
        <v>1.4453549786447937E-3</v>
      </c>
      <c r="E59" s="19">
        <f t="shared" ref="E59" si="7">E53*E54*E55*E56*E57*E58</f>
        <v>4.1423426209835947E-3</v>
      </c>
      <c r="F59" s="19">
        <f t="shared" ref="F59" si="8">F53*F54*F55*F56*F57*F58</f>
        <v>2.4229812658712528E-3</v>
      </c>
      <c r="G59" s="19">
        <f t="shared" ref="G59" si="9">G53*G54*G55*G56*G57*G58</f>
        <v>1.7323105161760753E-3</v>
      </c>
      <c r="H59" s="19">
        <f t="shared" ref="H59" si="10">H53*H54*H55*H56*H57*H58</f>
        <v>4.4903610022671613E-3</v>
      </c>
    </row>
    <row r="62" spans="1:8" ht="17" x14ac:dyDescent="0.2">
      <c r="A62" s="26" t="s">
        <v>21</v>
      </c>
      <c r="B62" s="27">
        <v>45748</v>
      </c>
      <c r="C62" s="27">
        <v>45778</v>
      </c>
      <c r="D62" s="27">
        <v>45809</v>
      </c>
      <c r="E62" s="27">
        <v>45839</v>
      </c>
      <c r="F62" s="27">
        <v>45870</v>
      </c>
      <c r="G62" s="27">
        <v>45901</v>
      </c>
      <c r="H62" s="27">
        <v>45931</v>
      </c>
    </row>
    <row r="63" spans="1:8" ht="17" x14ac:dyDescent="0.2">
      <c r="A63" s="28" t="s">
        <v>12</v>
      </c>
      <c r="B63" s="29">
        <v>18366.548462512092</v>
      </c>
      <c r="C63" s="29">
        <v>18769.305077133253</v>
      </c>
      <c r="D63" s="29">
        <v>19397.970787669885</v>
      </c>
      <c r="E63" s="29">
        <v>19653.316709570718</v>
      </c>
      <c r="F63" s="29">
        <v>20216.286728494528</v>
      </c>
      <c r="G63" s="29">
        <v>20886.544457684915</v>
      </c>
      <c r="H63" s="29">
        <v>21163.617171105634</v>
      </c>
    </row>
    <row r="64" spans="1:8" ht="17" x14ac:dyDescent="0.2">
      <c r="A64" s="20" t="s">
        <v>82</v>
      </c>
      <c r="B64" s="17">
        <v>15940.429359034806</v>
      </c>
      <c r="C64" s="17">
        <v>16197.915273173248</v>
      </c>
      <c r="D64" s="17">
        <v>17388.60538323989</v>
      </c>
      <c r="E64" s="17">
        <v>17350.770995550716</v>
      </c>
      <c r="F64" s="17">
        <v>17898.926002392971</v>
      </c>
      <c r="G64" s="17">
        <v>18482.011091327575</v>
      </c>
      <c r="H64" s="17">
        <v>18468.657021405634</v>
      </c>
    </row>
    <row r="65" spans="1:8" ht="17" x14ac:dyDescent="0.2">
      <c r="A65" s="21" t="s">
        <v>83</v>
      </c>
      <c r="B65" s="17">
        <v>1691.0664922872843</v>
      </c>
      <c r="C65" s="17">
        <v>1932.0717628000016</v>
      </c>
      <c r="D65" s="17">
        <v>1384.9674125799979</v>
      </c>
      <c r="E65" s="17">
        <v>1630.0526530499983</v>
      </c>
      <c r="F65" s="17">
        <v>1637.5848595015584</v>
      </c>
      <c r="G65" s="17">
        <v>1786.2884010173416</v>
      </c>
      <c r="H65" s="17">
        <v>1949.5768540299996</v>
      </c>
    </row>
    <row r="66" spans="1:8" ht="17" x14ac:dyDescent="0.2">
      <c r="A66" s="22" t="s">
        <v>84</v>
      </c>
      <c r="B66" s="17">
        <v>393.08673394000067</v>
      </c>
      <c r="C66" s="17">
        <v>314.76071967000024</v>
      </c>
      <c r="D66" s="17">
        <v>324.40967137999996</v>
      </c>
      <c r="E66" s="17">
        <v>338.82405717999978</v>
      </c>
      <c r="F66" s="17">
        <v>333.89398433000042</v>
      </c>
      <c r="G66" s="17">
        <v>303.33637721999992</v>
      </c>
      <c r="H66" s="17">
        <v>377.20665037000089</v>
      </c>
    </row>
    <row r="67" spans="1:8" ht="17" x14ac:dyDescent="0.2">
      <c r="A67" s="22" t="s">
        <v>85</v>
      </c>
      <c r="B67" s="17">
        <v>165.26167388999971</v>
      </c>
      <c r="C67" s="17">
        <v>154.38550548000006</v>
      </c>
      <c r="D67" s="17">
        <v>134.53604107000001</v>
      </c>
      <c r="E67" s="17">
        <v>146.05023997000012</v>
      </c>
      <c r="F67" s="17">
        <v>149.80845274999987</v>
      </c>
      <c r="G67" s="17">
        <v>146.89914247999999</v>
      </c>
      <c r="H67" s="17">
        <v>173.39933579999999</v>
      </c>
    </row>
    <row r="68" spans="1:8" ht="17" x14ac:dyDescent="0.2">
      <c r="A68" s="22" t="s">
        <v>86</v>
      </c>
      <c r="B68" s="17">
        <v>72.095434519999969</v>
      </c>
      <c r="C68" s="17">
        <v>71.402186450000016</v>
      </c>
      <c r="D68" s="17">
        <v>52.646886149999993</v>
      </c>
      <c r="E68" s="17">
        <v>76.145374400000065</v>
      </c>
      <c r="F68" s="17">
        <v>81.68810430000002</v>
      </c>
      <c r="G68" s="17">
        <v>56.919576400000004</v>
      </c>
      <c r="H68" s="17">
        <v>76.01396584999992</v>
      </c>
    </row>
    <row r="69" spans="1:8" ht="17" x14ac:dyDescent="0.2">
      <c r="A69" s="22" t="s">
        <v>87</v>
      </c>
      <c r="B69" s="17">
        <v>46.418025149999991</v>
      </c>
      <c r="C69" s="17">
        <v>41.38858387999997</v>
      </c>
      <c r="D69" s="17">
        <v>54.34600373</v>
      </c>
      <c r="E69" s="17">
        <v>46.760169719999986</v>
      </c>
      <c r="F69" s="17">
        <v>47.222491109999979</v>
      </c>
      <c r="G69" s="17">
        <v>53.890257529999978</v>
      </c>
      <c r="H69" s="17">
        <v>48.857142919999994</v>
      </c>
    </row>
    <row r="70" spans="1:8" ht="17" x14ac:dyDescent="0.2">
      <c r="A70" s="23" t="s">
        <v>88</v>
      </c>
      <c r="B70" s="17">
        <v>35.917208180000003</v>
      </c>
      <c r="C70" s="17">
        <v>38.2884411</v>
      </c>
      <c r="D70" s="17">
        <v>37.559840150000007</v>
      </c>
      <c r="E70" s="17">
        <v>43.373584309999998</v>
      </c>
      <c r="F70" s="17">
        <v>38.212913119999996</v>
      </c>
      <c r="G70" s="17">
        <v>40.127481230000029</v>
      </c>
      <c r="H70" s="17">
        <v>42.786735080000021</v>
      </c>
    </row>
    <row r="71" spans="1:8" ht="17" x14ac:dyDescent="0.2">
      <c r="A71" s="23" t="s">
        <v>89</v>
      </c>
      <c r="B71" s="17">
        <v>22.273535509999995</v>
      </c>
      <c r="C71" s="17">
        <v>19.092604580000007</v>
      </c>
      <c r="D71" s="17">
        <v>20.89954937000001</v>
      </c>
      <c r="E71" s="17">
        <v>21.339635390000002</v>
      </c>
      <c r="F71" s="17">
        <v>28.949920989999999</v>
      </c>
      <c r="G71" s="17">
        <v>17.072130479999998</v>
      </c>
      <c r="H71" s="17">
        <v>27.119465649999981</v>
      </c>
    </row>
    <row r="72" spans="1:8" ht="17" x14ac:dyDescent="0.2">
      <c r="A72" s="25" t="s">
        <v>90</v>
      </c>
      <c r="B72" s="17"/>
      <c r="C72" s="17"/>
      <c r="D72" s="17"/>
      <c r="E72" s="17"/>
      <c r="F72" s="17"/>
      <c r="G72" s="17"/>
      <c r="H72" s="17"/>
    </row>
    <row r="73" spans="1:8" ht="17" x14ac:dyDescent="0.2">
      <c r="A73" s="24" t="s">
        <v>91</v>
      </c>
      <c r="B73" s="18">
        <v>0.38051664000000007</v>
      </c>
      <c r="C73" s="18">
        <v>14.232225960000003</v>
      </c>
      <c r="D73" s="18">
        <v>21.245600810000003</v>
      </c>
      <c r="E73" s="18">
        <v>4.8229155200000005</v>
      </c>
      <c r="F73" s="18">
        <v>25.22319426</v>
      </c>
      <c r="G73" s="18"/>
      <c r="H73" s="18"/>
    </row>
    <row r="74" spans="1:8" ht="17" x14ac:dyDescent="0.2">
      <c r="A74" s="20" t="s">
        <v>92</v>
      </c>
      <c r="B74" s="19" t="e">
        <v>#VALUE!</v>
      </c>
      <c r="C74" s="19">
        <v>0.12120575420416334</v>
      </c>
      <c r="D74" s="19">
        <v>8.5502818679003764E-2</v>
      </c>
      <c r="E74" s="19">
        <v>9.3742575504136408E-2</v>
      </c>
      <c r="F74" s="19">
        <v>9.4381100408822569E-2</v>
      </c>
      <c r="G74" s="19">
        <v>9.9798636006346211E-2</v>
      </c>
      <c r="H74" s="19">
        <v>0.1054851035634759</v>
      </c>
    </row>
    <row r="75" spans="1:8" ht="17" x14ac:dyDescent="0.2">
      <c r="A75" s="20" t="s">
        <v>93</v>
      </c>
      <c r="B75" s="19" t="e">
        <v>#VALUE!</v>
      </c>
      <c r="C75" s="19">
        <v>0.18613148631681811</v>
      </c>
      <c r="D75" s="19">
        <v>0.16790767176777027</v>
      </c>
      <c r="E75" s="19">
        <v>0.24464406462013327</v>
      </c>
      <c r="F75" s="19">
        <v>0.20483631844974456</v>
      </c>
      <c r="G75" s="19">
        <v>0.18523398983569514</v>
      </c>
      <c r="H75" s="19">
        <v>0.2111678327839844</v>
      </c>
    </row>
    <row r="76" spans="1:8" ht="17" x14ac:dyDescent="0.2">
      <c r="A76" s="20" t="s">
        <v>94</v>
      </c>
      <c r="B76" s="19" t="e">
        <v>#VALUE!</v>
      </c>
      <c r="C76" s="19">
        <v>0.39275175718233446</v>
      </c>
      <c r="D76" s="19">
        <v>0.42742322234823193</v>
      </c>
      <c r="E76" s="19">
        <v>0.45020310075442527</v>
      </c>
      <c r="F76" s="19">
        <v>0.44214231420531735</v>
      </c>
      <c r="G76" s="19">
        <v>0.43995743970880846</v>
      </c>
      <c r="H76" s="19">
        <v>0.57164042568570383</v>
      </c>
    </row>
    <row r="77" spans="1:8" ht="17" x14ac:dyDescent="0.2">
      <c r="A77" s="20" t="s">
        <v>95</v>
      </c>
      <c r="B77" s="19" t="e">
        <v>#VALUE!</v>
      </c>
      <c r="C77" s="19">
        <v>0.4320553263760733</v>
      </c>
      <c r="D77" s="19">
        <v>0.34100925463381765</v>
      </c>
      <c r="E77" s="19">
        <v>0.56598494941872945</v>
      </c>
      <c r="F77" s="19">
        <v>0.55931509812499736</v>
      </c>
      <c r="G77" s="19">
        <v>0.37994903061302765</v>
      </c>
      <c r="H77" s="19">
        <v>0.51745683852680802</v>
      </c>
    </row>
    <row r="78" spans="1:8" ht="17" x14ac:dyDescent="0.2">
      <c r="A78" s="20" t="s">
        <v>96</v>
      </c>
      <c r="B78" s="19" t="e">
        <v>#VALUE!</v>
      </c>
      <c r="C78" s="19">
        <v>0.57408051086117495</v>
      </c>
      <c r="D78" s="19">
        <v>0.76112520403077921</v>
      </c>
      <c r="E78" s="19">
        <v>0.88818490777920378</v>
      </c>
      <c r="F78" s="19">
        <v>0.6201623077185886</v>
      </c>
      <c r="G78" s="19">
        <v>0.65970753014524253</v>
      </c>
      <c r="H78" s="19">
        <v>0.85835394446118873</v>
      </c>
    </row>
    <row r="79" spans="1:8" ht="17" x14ac:dyDescent="0.2">
      <c r="A79" s="20" t="s">
        <v>97</v>
      </c>
      <c r="B79" s="19" t="e">
        <v>#VALUE!</v>
      </c>
      <c r="C79" s="19">
        <v>0.82486148379365098</v>
      </c>
      <c r="D79" s="19">
        <v>0.90749275836301058</v>
      </c>
      <c r="E79" s="19">
        <v>0.798100712712699</v>
      </c>
      <c r="F79" s="19">
        <v>0.81721074471754518</v>
      </c>
      <c r="G79" s="19">
        <v>0.84975358747015595</v>
      </c>
      <c r="H79" s="19">
        <v>0.79396048638626793</v>
      </c>
    </row>
    <row r="80" spans="1:8" ht="17" x14ac:dyDescent="0.2">
      <c r="A80" s="20" t="s">
        <v>98</v>
      </c>
      <c r="B80" s="19" t="e">
        <v>#VALUE!</v>
      </c>
      <c r="C80" s="19">
        <f>C74*C75*C76*C77*C78*C79</f>
        <v>1.812818866873073E-3</v>
      </c>
      <c r="D80" s="19">
        <f t="shared" ref="D80" si="11">D74*D75*D76*D77*D78*D79</f>
        <v>1.4453549786447937E-3</v>
      </c>
      <c r="E80" s="19">
        <f t="shared" ref="E80" si="12">E74*E75*E76*E77*E78*E79</f>
        <v>4.1423426209835947E-3</v>
      </c>
      <c r="F80" s="19">
        <f t="shared" ref="F80" si="13">F74*F75*F76*F77*F78*F79</f>
        <v>2.4229812658712528E-3</v>
      </c>
      <c r="G80" s="19">
        <f t="shared" ref="G80" si="14">G74*G75*G76*G77*G78*G79</f>
        <v>1.7323105161760753E-3</v>
      </c>
      <c r="H80" s="19">
        <f t="shared" ref="H80" si="15">H74*H75*H76*H77*H78*H79</f>
        <v>4.4903610022671613E-3</v>
      </c>
    </row>
    <row r="82" spans="1:8" ht="17" x14ac:dyDescent="0.2">
      <c r="A82" s="26" t="s">
        <v>27</v>
      </c>
      <c r="B82" s="27">
        <v>45748</v>
      </c>
      <c r="C82" s="27">
        <v>45778</v>
      </c>
      <c r="D82" s="27">
        <v>45809</v>
      </c>
      <c r="E82" s="27">
        <v>45839</v>
      </c>
      <c r="F82" s="27">
        <v>45870</v>
      </c>
      <c r="G82" s="27">
        <v>45901</v>
      </c>
      <c r="H82" s="27">
        <v>45931</v>
      </c>
    </row>
    <row r="83" spans="1:8" ht="17" x14ac:dyDescent="0.2">
      <c r="A83" s="28" t="s">
        <v>101</v>
      </c>
      <c r="B83" s="29">
        <v>18366.548462512092</v>
      </c>
      <c r="C83" s="29">
        <v>18769.305077133253</v>
      </c>
      <c r="D83" s="29">
        <v>19397.970787669885</v>
      </c>
      <c r="E83" s="29">
        <v>19653.316709570718</v>
      </c>
      <c r="F83" s="29">
        <v>20216.286728494528</v>
      </c>
      <c r="G83" s="29">
        <v>20886.544457684915</v>
      </c>
      <c r="H83" s="29">
        <v>21163.617171105634</v>
      </c>
    </row>
    <row r="84" spans="1:8" ht="17" x14ac:dyDescent="0.2">
      <c r="A84" s="20" t="s">
        <v>82</v>
      </c>
      <c r="B84" s="17">
        <v>15940.429359034806</v>
      </c>
      <c r="C84" s="17">
        <v>16197.915273173248</v>
      </c>
      <c r="D84" s="17">
        <v>17388.60538323989</v>
      </c>
      <c r="E84" s="17">
        <v>17350.770995550716</v>
      </c>
      <c r="F84" s="17">
        <v>17898.926002392971</v>
      </c>
      <c r="G84" s="17">
        <v>18482.011091327575</v>
      </c>
      <c r="H84" s="17">
        <v>18468.657021405634</v>
      </c>
    </row>
    <row r="85" spans="1:8" ht="17" x14ac:dyDescent="0.2">
      <c r="A85" s="21" t="s">
        <v>83</v>
      </c>
      <c r="B85" s="17">
        <v>1691.0664922872843</v>
      </c>
      <c r="C85" s="17">
        <v>1932.0717628000016</v>
      </c>
      <c r="D85" s="17">
        <v>1384.9674125799979</v>
      </c>
      <c r="E85" s="17">
        <v>1630.0526530499983</v>
      </c>
      <c r="F85" s="17">
        <v>1637.5848595015584</v>
      </c>
      <c r="G85" s="17">
        <v>1786.2884010173416</v>
      </c>
      <c r="H85" s="17">
        <v>1949.5768540299996</v>
      </c>
    </row>
    <row r="86" spans="1:8" ht="17" x14ac:dyDescent="0.2">
      <c r="A86" s="22" t="s">
        <v>84</v>
      </c>
      <c r="B86" s="17">
        <v>393.08673394000067</v>
      </c>
      <c r="C86" s="17">
        <v>314.76071967000024</v>
      </c>
      <c r="D86" s="17">
        <v>324.40967137999996</v>
      </c>
      <c r="E86" s="17">
        <v>338.82405717999978</v>
      </c>
      <c r="F86" s="17">
        <v>333.89398433000042</v>
      </c>
      <c r="G86" s="17">
        <v>303.33637721999992</v>
      </c>
      <c r="H86" s="17">
        <v>377.20665037000089</v>
      </c>
    </row>
    <row r="87" spans="1:8" ht="17" x14ac:dyDescent="0.2">
      <c r="A87" s="22" t="s">
        <v>85</v>
      </c>
      <c r="B87" s="17">
        <v>165.26167388999971</v>
      </c>
      <c r="C87" s="17">
        <v>154.38550548000006</v>
      </c>
      <c r="D87" s="17">
        <v>134.53604107000001</v>
      </c>
      <c r="E87" s="17">
        <v>146.05023997000012</v>
      </c>
      <c r="F87" s="17">
        <v>149.80845274999987</v>
      </c>
      <c r="G87" s="17">
        <v>146.89914247999999</v>
      </c>
      <c r="H87" s="17">
        <v>173.39933579999999</v>
      </c>
    </row>
    <row r="88" spans="1:8" ht="17" x14ac:dyDescent="0.2">
      <c r="A88" s="22" t="s">
        <v>86</v>
      </c>
      <c r="B88" s="17">
        <v>72.095434519999969</v>
      </c>
      <c r="C88" s="17">
        <v>71.402186450000016</v>
      </c>
      <c r="D88" s="17">
        <v>52.646886149999993</v>
      </c>
      <c r="E88" s="17">
        <v>76.145374400000065</v>
      </c>
      <c r="F88" s="17">
        <v>81.68810430000002</v>
      </c>
      <c r="G88" s="17">
        <v>56.919576400000004</v>
      </c>
      <c r="H88" s="17">
        <v>76.01396584999992</v>
      </c>
    </row>
    <row r="89" spans="1:8" ht="17" x14ac:dyDescent="0.2">
      <c r="A89" s="22" t="s">
        <v>87</v>
      </c>
      <c r="B89" s="17">
        <v>46.418025149999991</v>
      </c>
      <c r="C89" s="17">
        <v>41.38858387999997</v>
      </c>
      <c r="D89" s="17">
        <v>54.34600373</v>
      </c>
      <c r="E89" s="17">
        <v>46.760169719999986</v>
      </c>
      <c r="F89" s="17">
        <v>47.222491109999979</v>
      </c>
      <c r="G89" s="17">
        <v>53.890257529999978</v>
      </c>
      <c r="H89" s="17">
        <v>48.857142919999994</v>
      </c>
    </row>
    <row r="90" spans="1:8" ht="17" x14ac:dyDescent="0.2">
      <c r="A90" s="23" t="s">
        <v>88</v>
      </c>
      <c r="B90" s="17">
        <v>35.917208180000003</v>
      </c>
      <c r="C90" s="17">
        <v>38.2884411</v>
      </c>
      <c r="D90" s="17">
        <v>37.559840150000007</v>
      </c>
      <c r="E90" s="17">
        <v>43.373584309999998</v>
      </c>
      <c r="F90" s="17">
        <v>38.212913119999996</v>
      </c>
      <c r="G90" s="17">
        <v>40.127481230000029</v>
      </c>
      <c r="H90" s="17">
        <v>42.786735080000021</v>
      </c>
    </row>
    <row r="91" spans="1:8" ht="17" x14ac:dyDescent="0.2">
      <c r="A91" s="23" t="s">
        <v>89</v>
      </c>
      <c r="B91" s="17">
        <v>22.273535509999995</v>
      </c>
      <c r="C91" s="17">
        <v>19.092604580000007</v>
      </c>
      <c r="D91" s="17">
        <v>20.89954937000001</v>
      </c>
      <c r="E91" s="17">
        <v>21.339635390000002</v>
      </c>
      <c r="F91" s="17">
        <v>28.949920989999999</v>
      </c>
      <c r="G91" s="17">
        <v>17.072130479999998</v>
      </c>
      <c r="H91" s="17">
        <v>27.119465649999981</v>
      </c>
    </row>
    <row r="92" spans="1:8" ht="17" x14ac:dyDescent="0.2">
      <c r="A92" s="25" t="s">
        <v>90</v>
      </c>
      <c r="B92" s="17"/>
      <c r="C92" s="17"/>
      <c r="D92" s="17"/>
      <c r="E92" s="17"/>
      <c r="F92" s="17"/>
      <c r="G92" s="17"/>
      <c r="H92" s="17"/>
    </row>
    <row r="93" spans="1:8" ht="17" x14ac:dyDescent="0.2">
      <c r="A93" s="24" t="s">
        <v>91</v>
      </c>
      <c r="B93" s="18">
        <v>0.38051664000000007</v>
      </c>
      <c r="C93" s="18">
        <v>14.232225960000003</v>
      </c>
      <c r="D93" s="18">
        <v>21.245600810000003</v>
      </c>
      <c r="E93" s="18">
        <v>4.8229155200000005</v>
      </c>
      <c r="F93" s="18">
        <v>25.22319426</v>
      </c>
      <c r="G93" s="18"/>
      <c r="H93" s="18"/>
    </row>
    <row r="94" spans="1:8" ht="17" x14ac:dyDescent="0.2">
      <c r="A94" s="20" t="s">
        <v>92</v>
      </c>
      <c r="B94" s="19" t="e">
        <v>#VALUE!</v>
      </c>
      <c r="C94" s="19">
        <v>0.12120575420416334</v>
      </c>
      <c r="D94" s="19">
        <v>8.5502818679003764E-2</v>
      </c>
      <c r="E94" s="19">
        <v>9.3742575504136408E-2</v>
      </c>
      <c r="F94" s="19">
        <v>9.4381100408822569E-2</v>
      </c>
      <c r="G94" s="19">
        <v>9.9798636006346211E-2</v>
      </c>
      <c r="H94" s="19">
        <v>0.1054851035634759</v>
      </c>
    </row>
    <row r="95" spans="1:8" ht="17" x14ac:dyDescent="0.2">
      <c r="A95" s="20" t="s">
        <v>93</v>
      </c>
      <c r="B95" s="19" t="e">
        <v>#VALUE!</v>
      </c>
      <c r="C95" s="19">
        <v>0.18613148631681811</v>
      </c>
      <c r="D95" s="19">
        <v>0.16790767176777027</v>
      </c>
      <c r="E95" s="19">
        <v>0.24464406462013327</v>
      </c>
      <c r="F95" s="19">
        <v>0.20483631844974456</v>
      </c>
      <c r="G95" s="19">
        <v>0.18523398983569514</v>
      </c>
      <c r="H95" s="19">
        <v>0.2111678327839844</v>
      </c>
    </row>
    <row r="96" spans="1:8" ht="17" x14ac:dyDescent="0.2">
      <c r="A96" s="20" t="s">
        <v>94</v>
      </c>
      <c r="B96" s="19" t="e">
        <v>#VALUE!</v>
      </c>
      <c r="C96" s="19">
        <v>0.39275175718233446</v>
      </c>
      <c r="D96" s="19">
        <v>0.42742322234823193</v>
      </c>
      <c r="E96" s="19">
        <v>0.45020310075442527</v>
      </c>
      <c r="F96" s="19">
        <v>0.44214231420531735</v>
      </c>
      <c r="G96" s="19">
        <v>0.43995743970880846</v>
      </c>
      <c r="H96" s="19">
        <v>0.57164042568570383</v>
      </c>
    </row>
    <row r="97" spans="1:8" ht="17" x14ac:dyDescent="0.2">
      <c r="A97" s="20" t="s">
        <v>95</v>
      </c>
      <c r="B97" s="19" t="e">
        <v>#VALUE!</v>
      </c>
      <c r="C97" s="19">
        <v>0.4320553263760733</v>
      </c>
      <c r="D97" s="19">
        <v>0.34100925463381765</v>
      </c>
      <c r="E97" s="19">
        <v>0.56598494941872945</v>
      </c>
      <c r="F97" s="19">
        <v>0.55931509812499736</v>
      </c>
      <c r="G97" s="19">
        <v>0.37994903061302765</v>
      </c>
      <c r="H97" s="19">
        <v>0.51745683852680802</v>
      </c>
    </row>
    <row r="98" spans="1:8" ht="17" x14ac:dyDescent="0.2">
      <c r="A98" s="20" t="s">
        <v>96</v>
      </c>
      <c r="B98" s="19" t="e">
        <v>#VALUE!</v>
      </c>
      <c r="C98" s="19">
        <v>0.57408051086117495</v>
      </c>
      <c r="D98" s="19">
        <v>0.76112520403077921</v>
      </c>
      <c r="E98" s="19">
        <v>0.88818490777920378</v>
      </c>
      <c r="F98" s="19">
        <v>0.6201623077185886</v>
      </c>
      <c r="G98" s="19">
        <v>0.65970753014524253</v>
      </c>
      <c r="H98" s="19">
        <v>0.85835394446118873</v>
      </c>
    </row>
    <row r="99" spans="1:8" ht="17" x14ac:dyDescent="0.2">
      <c r="A99" s="20" t="s">
        <v>97</v>
      </c>
      <c r="B99" s="19" t="e">
        <v>#VALUE!</v>
      </c>
      <c r="C99" s="19">
        <v>0.82486148379365098</v>
      </c>
      <c r="D99" s="19">
        <v>0.90749275836301058</v>
      </c>
      <c r="E99" s="19">
        <v>0.798100712712699</v>
      </c>
      <c r="F99" s="19">
        <v>0.81721074471754518</v>
      </c>
      <c r="G99" s="19">
        <v>0.84975358747015595</v>
      </c>
      <c r="H99" s="19">
        <v>0.79396048638626793</v>
      </c>
    </row>
    <row r="100" spans="1:8" ht="17" x14ac:dyDescent="0.2">
      <c r="A100" s="20" t="s">
        <v>98</v>
      </c>
      <c r="B100" s="19" t="e">
        <v>#VALUE!</v>
      </c>
      <c r="C100" s="19">
        <f>C94*C95*C96*C97*C98*C99</f>
        <v>1.812818866873073E-3</v>
      </c>
      <c r="D100" s="19">
        <f t="shared" ref="D100" si="16">D94*D95*D96*D97*D98*D99</f>
        <v>1.4453549786447937E-3</v>
      </c>
      <c r="E100" s="19">
        <f t="shared" ref="E100" si="17">E94*E95*E96*E97*E98*E99</f>
        <v>4.1423426209835947E-3</v>
      </c>
      <c r="F100" s="19">
        <f t="shared" ref="F100" si="18">F94*F95*F96*F97*F98*F99</f>
        <v>2.4229812658712528E-3</v>
      </c>
      <c r="G100" s="19">
        <f t="shared" ref="G100" si="19">G94*G95*G96*G97*G98*G99</f>
        <v>1.7323105161760753E-3</v>
      </c>
      <c r="H100" s="19">
        <f t="shared" ref="H100" si="20">H94*H95*H96*H97*H98*H99</f>
        <v>4.4903610022671613E-3</v>
      </c>
    </row>
    <row r="102" spans="1:8" ht="17" x14ac:dyDescent="0.2">
      <c r="A102" s="26" t="s">
        <v>102</v>
      </c>
      <c r="B102" s="27">
        <v>45748</v>
      </c>
      <c r="C102" s="27">
        <v>45778</v>
      </c>
      <c r="D102" s="27">
        <v>45809</v>
      </c>
      <c r="E102" s="27">
        <v>45839</v>
      </c>
      <c r="F102" s="27">
        <v>45870</v>
      </c>
      <c r="G102" s="27">
        <v>45901</v>
      </c>
      <c r="H102" s="27">
        <v>45931</v>
      </c>
    </row>
    <row r="103" spans="1:8" ht="17" x14ac:dyDescent="0.2">
      <c r="A103" s="28" t="s">
        <v>101</v>
      </c>
      <c r="B103" s="29">
        <v>18366.548462512092</v>
      </c>
      <c r="C103" s="29">
        <v>18769.305077133253</v>
      </c>
      <c r="D103" s="29">
        <v>19397.970787669885</v>
      </c>
      <c r="E103" s="29">
        <v>19653.316709570718</v>
      </c>
      <c r="F103" s="29">
        <v>20216.286728494528</v>
      </c>
      <c r="G103" s="29">
        <v>20886.544457684915</v>
      </c>
      <c r="H103" s="29">
        <v>21163.617171105634</v>
      </c>
    </row>
    <row r="104" spans="1:8" ht="17" x14ac:dyDescent="0.2">
      <c r="A104" s="20" t="s">
        <v>82</v>
      </c>
      <c r="B104" s="17">
        <v>15940.429359034806</v>
      </c>
      <c r="C104" s="17">
        <v>16197.915273173248</v>
      </c>
      <c r="D104" s="17">
        <v>17388.60538323989</v>
      </c>
      <c r="E104" s="17">
        <v>17350.770995550716</v>
      </c>
      <c r="F104" s="17">
        <v>17898.926002392971</v>
      </c>
      <c r="G104" s="17">
        <v>18482.011091327575</v>
      </c>
      <c r="H104" s="17">
        <v>18468.657021405634</v>
      </c>
    </row>
    <row r="105" spans="1:8" ht="17" x14ac:dyDescent="0.2">
      <c r="A105" s="21" t="s">
        <v>83</v>
      </c>
      <c r="B105" s="17">
        <v>1691.0664922872843</v>
      </c>
      <c r="C105" s="17">
        <v>1932.0717628000016</v>
      </c>
      <c r="D105" s="17">
        <v>1384.9674125799979</v>
      </c>
      <c r="E105" s="17">
        <v>1630.0526530499983</v>
      </c>
      <c r="F105" s="17">
        <v>1637.5848595015584</v>
      </c>
      <c r="G105" s="17">
        <v>1786.2884010173416</v>
      </c>
      <c r="H105" s="17">
        <v>1949.5768540299996</v>
      </c>
    </row>
    <row r="106" spans="1:8" ht="17" x14ac:dyDescent="0.2">
      <c r="A106" s="22" t="s">
        <v>84</v>
      </c>
      <c r="B106" s="17">
        <v>393.08673394000067</v>
      </c>
      <c r="C106" s="17">
        <v>314.76071967000024</v>
      </c>
      <c r="D106" s="17">
        <v>324.40967137999996</v>
      </c>
      <c r="E106" s="17">
        <v>338.82405717999978</v>
      </c>
      <c r="F106" s="17">
        <v>333.89398433000042</v>
      </c>
      <c r="G106" s="17">
        <v>303.33637721999992</v>
      </c>
      <c r="H106" s="17">
        <v>377.20665037000089</v>
      </c>
    </row>
    <row r="107" spans="1:8" ht="17" x14ac:dyDescent="0.2">
      <c r="A107" s="22" t="s">
        <v>85</v>
      </c>
      <c r="B107" s="17">
        <v>165.26167388999971</v>
      </c>
      <c r="C107" s="17">
        <v>154.38550548000006</v>
      </c>
      <c r="D107" s="17">
        <v>134.53604107000001</v>
      </c>
      <c r="E107" s="17">
        <v>146.05023997000012</v>
      </c>
      <c r="F107" s="17">
        <v>149.80845274999987</v>
      </c>
      <c r="G107" s="17">
        <v>146.89914247999999</v>
      </c>
      <c r="H107" s="17">
        <v>173.39933579999999</v>
      </c>
    </row>
    <row r="108" spans="1:8" ht="17" x14ac:dyDescent="0.2">
      <c r="A108" s="22" t="s">
        <v>86</v>
      </c>
      <c r="B108" s="17">
        <v>72.095434519999969</v>
      </c>
      <c r="C108" s="17">
        <v>71.402186450000016</v>
      </c>
      <c r="D108" s="17">
        <v>52.646886149999993</v>
      </c>
      <c r="E108" s="17">
        <v>76.145374400000065</v>
      </c>
      <c r="F108" s="17">
        <v>81.68810430000002</v>
      </c>
      <c r="G108" s="17">
        <v>56.919576400000004</v>
      </c>
      <c r="H108" s="17">
        <v>76.01396584999992</v>
      </c>
    </row>
    <row r="109" spans="1:8" ht="17" x14ac:dyDescent="0.2">
      <c r="A109" s="22" t="s">
        <v>87</v>
      </c>
      <c r="B109" s="17">
        <v>46.418025149999991</v>
      </c>
      <c r="C109" s="17">
        <v>41.38858387999997</v>
      </c>
      <c r="D109" s="17">
        <v>54.34600373</v>
      </c>
      <c r="E109" s="17">
        <v>46.760169719999986</v>
      </c>
      <c r="F109" s="17">
        <v>47.222491109999979</v>
      </c>
      <c r="G109" s="17">
        <v>53.890257529999978</v>
      </c>
      <c r="H109" s="17">
        <v>48.857142919999994</v>
      </c>
    </row>
    <row r="110" spans="1:8" ht="17" x14ac:dyDescent="0.2">
      <c r="A110" s="23" t="s">
        <v>88</v>
      </c>
      <c r="B110" s="17">
        <v>35.917208180000003</v>
      </c>
      <c r="C110" s="17">
        <v>38.2884411</v>
      </c>
      <c r="D110" s="17">
        <v>37.559840150000007</v>
      </c>
      <c r="E110" s="17">
        <v>43.373584309999998</v>
      </c>
      <c r="F110" s="17">
        <v>38.212913119999996</v>
      </c>
      <c r="G110" s="17">
        <v>40.127481230000029</v>
      </c>
      <c r="H110" s="17">
        <v>42.786735080000021</v>
      </c>
    </row>
    <row r="111" spans="1:8" ht="17" x14ac:dyDescent="0.2">
      <c r="A111" s="23" t="s">
        <v>89</v>
      </c>
      <c r="B111" s="17">
        <v>22.273535509999995</v>
      </c>
      <c r="C111" s="17">
        <v>19.092604580000007</v>
      </c>
      <c r="D111" s="17">
        <v>20.89954937000001</v>
      </c>
      <c r="E111" s="17">
        <v>21.339635390000002</v>
      </c>
      <c r="F111" s="17">
        <v>28.949920989999999</v>
      </c>
      <c r="G111" s="17">
        <v>17.072130479999998</v>
      </c>
      <c r="H111" s="17">
        <v>27.119465649999981</v>
      </c>
    </row>
    <row r="112" spans="1:8" ht="17" x14ac:dyDescent="0.2">
      <c r="A112" s="25" t="s">
        <v>90</v>
      </c>
      <c r="B112" s="17"/>
      <c r="C112" s="17"/>
      <c r="D112" s="17"/>
      <c r="E112" s="17"/>
      <c r="F112" s="17"/>
      <c r="G112" s="17"/>
      <c r="H112" s="17"/>
    </row>
    <row r="113" spans="1:8" ht="17" x14ac:dyDescent="0.2">
      <c r="A113" s="24" t="s">
        <v>91</v>
      </c>
      <c r="B113" s="18">
        <v>0.38051664000000007</v>
      </c>
      <c r="C113" s="18">
        <v>14.232225960000003</v>
      </c>
      <c r="D113" s="18">
        <v>21.245600810000003</v>
      </c>
      <c r="E113" s="18">
        <v>4.8229155200000005</v>
      </c>
      <c r="F113" s="18">
        <v>25.22319426</v>
      </c>
      <c r="G113" s="18"/>
      <c r="H113" s="18"/>
    </row>
    <row r="114" spans="1:8" ht="17" x14ac:dyDescent="0.2">
      <c r="A114" s="20" t="s">
        <v>92</v>
      </c>
      <c r="B114" s="19" t="e">
        <v>#VALUE!</v>
      </c>
      <c r="C114" s="19">
        <v>0.12120575420416334</v>
      </c>
      <c r="D114" s="19">
        <v>8.5502818679003764E-2</v>
      </c>
      <c r="E114" s="19">
        <v>9.3742575504136408E-2</v>
      </c>
      <c r="F114" s="19">
        <v>9.4381100408822569E-2</v>
      </c>
      <c r="G114" s="19">
        <v>9.9798636006346211E-2</v>
      </c>
      <c r="H114" s="19">
        <v>0.1054851035634759</v>
      </c>
    </row>
    <row r="115" spans="1:8" ht="17" x14ac:dyDescent="0.2">
      <c r="A115" s="20" t="s">
        <v>93</v>
      </c>
      <c r="B115" s="19" t="e">
        <v>#VALUE!</v>
      </c>
      <c r="C115" s="19">
        <v>0.18613148631681811</v>
      </c>
      <c r="D115" s="19">
        <v>0.16790767176777027</v>
      </c>
      <c r="E115" s="19">
        <v>0.24464406462013327</v>
      </c>
      <c r="F115" s="19">
        <v>0.20483631844974456</v>
      </c>
      <c r="G115" s="19">
        <v>0.18523398983569514</v>
      </c>
      <c r="H115" s="19">
        <v>0.2111678327839844</v>
      </c>
    </row>
    <row r="116" spans="1:8" ht="17" x14ac:dyDescent="0.2">
      <c r="A116" s="20" t="s">
        <v>94</v>
      </c>
      <c r="B116" s="19" t="e">
        <v>#VALUE!</v>
      </c>
      <c r="C116" s="19">
        <v>0.39275175718233446</v>
      </c>
      <c r="D116" s="19">
        <v>0.42742322234823193</v>
      </c>
      <c r="E116" s="19">
        <v>0.45020310075442527</v>
      </c>
      <c r="F116" s="19">
        <v>0.44214231420531735</v>
      </c>
      <c r="G116" s="19">
        <v>0.43995743970880846</v>
      </c>
      <c r="H116" s="19">
        <v>0.57164042568570383</v>
      </c>
    </row>
    <row r="117" spans="1:8" ht="17" x14ac:dyDescent="0.2">
      <c r="A117" s="20" t="s">
        <v>95</v>
      </c>
      <c r="B117" s="19" t="e">
        <v>#VALUE!</v>
      </c>
      <c r="C117" s="19">
        <v>0.4320553263760733</v>
      </c>
      <c r="D117" s="19">
        <v>0.34100925463381765</v>
      </c>
      <c r="E117" s="19">
        <v>0.56598494941872945</v>
      </c>
      <c r="F117" s="19">
        <v>0.55931509812499736</v>
      </c>
      <c r="G117" s="19">
        <v>0.37994903061302765</v>
      </c>
      <c r="H117" s="19">
        <v>0.51745683852680802</v>
      </c>
    </row>
    <row r="118" spans="1:8" ht="17" x14ac:dyDescent="0.2">
      <c r="A118" s="20" t="s">
        <v>96</v>
      </c>
      <c r="B118" s="19" t="e">
        <v>#VALUE!</v>
      </c>
      <c r="C118" s="19">
        <v>0.57408051086117495</v>
      </c>
      <c r="D118" s="19">
        <v>0.76112520403077921</v>
      </c>
      <c r="E118" s="19">
        <v>0.88818490777920378</v>
      </c>
      <c r="F118" s="19">
        <v>0.6201623077185886</v>
      </c>
      <c r="G118" s="19">
        <v>0.65970753014524253</v>
      </c>
      <c r="H118" s="19">
        <v>0.85835394446118873</v>
      </c>
    </row>
    <row r="119" spans="1:8" ht="17" x14ac:dyDescent="0.2">
      <c r="A119" s="20" t="s">
        <v>97</v>
      </c>
      <c r="B119" s="19" t="e">
        <v>#VALUE!</v>
      </c>
      <c r="C119" s="19">
        <v>0.82486148379365098</v>
      </c>
      <c r="D119" s="19">
        <v>0.90749275836301058</v>
      </c>
      <c r="E119" s="19">
        <v>0.798100712712699</v>
      </c>
      <c r="F119" s="19">
        <v>0.81721074471754518</v>
      </c>
      <c r="G119" s="19">
        <v>0.84975358747015595</v>
      </c>
      <c r="H119" s="19">
        <v>0.79396048638626793</v>
      </c>
    </row>
    <row r="120" spans="1:8" ht="17" x14ac:dyDescent="0.2">
      <c r="A120" s="20" t="s">
        <v>98</v>
      </c>
      <c r="B120" s="19" t="e">
        <v>#VALUE!</v>
      </c>
      <c r="C120" s="19">
        <f>C114*C115*C116*C117*C118*C119</f>
        <v>1.812818866873073E-3</v>
      </c>
      <c r="D120" s="19">
        <f t="shared" ref="D120" si="21">D114*D115*D116*D117*D118*D119</f>
        <v>1.4453549786447937E-3</v>
      </c>
      <c r="E120" s="19">
        <f t="shared" ref="E120" si="22">E114*E115*E116*E117*E118*E119</f>
        <v>4.1423426209835947E-3</v>
      </c>
      <c r="F120" s="19">
        <f t="shared" ref="F120" si="23">F114*F115*F116*F117*F118*F119</f>
        <v>2.4229812658712528E-3</v>
      </c>
      <c r="G120" s="19">
        <f t="shared" ref="G120" si="24">G114*G115*G116*G117*G118*G119</f>
        <v>1.7323105161760753E-3</v>
      </c>
      <c r="H120" s="19">
        <f t="shared" ref="H120" si="25">H114*H115*H116*H117*H118*H119</f>
        <v>4.4903610022671613E-3</v>
      </c>
    </row>
    <row r="122" spans="1:8" ht="17" x14ac:dyDescent="0.2">
      <c r="A122" s="26" t="s">
        <v>79</v>
      </c>
      <c r="B122" s="27">
        <v>45748</v>
      </c>
      <c r="C122" s="27">
        <v>45778</v>
      </c>
      <c r="D122" s="27">
        <v>45809</v>
      </c>
      <c r="E122" s="27">
        <v>45839</v>
      </c>
      <c r="F122" s="27">
        <v>45870</v>
      </c>
      <c r="G122" s="27">
        <v>45901</v>
      </c>
      <c r="H122" s="27">
        <v>45931</v>
      </c>
    </row>
    <row r="123" spans="1:8" ht="17" x14ac:dyDescent="0.2">
      <c r="A123" s="28" t="s">
        <v>101</v>
      </c>
      <c r="B123" s="29">
        <v>18366.548462512092</v>
      </c>
      <c r="C123" s="29">
        <v>18769.305077133253</v>
      </c>
      <c r="D123" s="29">
        <v>19397.970787669885</v>
      </c>
      <c r="E123" s="29">
        <v>19653.316709570718</v>
      </c>
      <c r="F123" s="29">
        <v>20216.286728494528</v>
      </c>
      <c r="G123" s="29">
        <v>20886.544457684915</v>
      </c>
      <c r="H123" s="29">
        <v>21163.617171105634</v>
      </c>
    </row>
    <row r="124" spans="1:8" ht="17" x14ac:dyDescent="0.2">
      <c r="A124" s="20" t="s">
        <v>82</v>
      </c>
      <c r="B124" s="17">
        <v>15940.429359034806</v>
      </c>
      <c r="C124" s="17">
        <v>16197.915273173248</v>
      </c>
      <c r="D124" s="17">
        <v>17388.60538323989</v>
      </c>
      <c r="E124" s="17">
        <v>17350.770995550716</v>
      </c>
      <c r="F124" s="17">
        <v>17898.926002392971</v>
      </c>
      <c r="G124" s="17">
        <v>18482.011091327575</v>
      </c>
      <c r="H124" s="17">
        <v>18468.657021405634</v>
      </c>
    </row>
    <row r="125" spans="1:8" ht="17" x14ac:dyDescent="0.2">
      <c r="A125" s="21" t="s">
        <v>83</v>
      </c>
      <c r="B125" s="17">
        <v>1691.0664922872843</v>
      </c>
      <c r="C125" s="17">
        <v>1932.0717628000016</v>
      </c>
      <c r="D125" s="17">
        <v>1384.9674125799979</v>
      </c>
      <c r="E125" s="17">
        <v>1630.0526530499983</v>
      </c>
      <c r="F125" s="17">
        <v>1637.5848595015584</v>
      </c>
      <c r="G125" s="17">
        <v>1786.2884010173416</v>
      </c>
      <c r="H125" s="17">
        <v>1949.5768540299996</v>
      </c>
    </row>
    <row r="126" spans="1:8" ht="17" x14ac:dyDescent="0.2">
      <c r="A126" s="22" t="s">
        <v>84</v>
      </c>
      <c r="B126" s="17">
        <v>393.08673394000067</v>
      </c>
      <c r="C126" s="17">
        <v>314.76071967000024</v>
      </c>
      <c r="D126" s="17">
        <v>324.40967137999996</v>
      </c>
      <c r="E126" s="17">
        <v>338.82405717999978</v>
      </c>
      <c r="F126" s="17">
        <v>333.89398433000042</v>
      </c>
      <c r="G126" s="17">
        <v>303.33637721999992</v>
      </c>
      <c r="H126" s="17">
        <v>377.20665037000089</v>
      </c>
    </row>
    <row r="127" spans="1:8" ht="17" x14ac:dyDescent="0.2">
      <c r="A127" s="22" t="s">
        <v>85</v>
      </c>
      <c r="B127" s="17">
        <v>165.26167388999971</v>
      </c>
      <c r="C127" s="17">
        <v>154.38550548000006</v>
      </c>
      <c r="D127" s="17">
        <v>134.53604107000001</v>
      </c>
      <c r="E127" s="17">
        <v>146.05023997000012</v>
      </c>
      <c r="F127" s="17">
        <v>149.80845274999987</v>
      </c>
      <c r="G127" s="17">
        <v>146.89914247999999</v>
      </c>
      <c r="H127" s="17">
        <v>173.39933579999999</v>
      </c>
    </row>
    <row r="128" spans="1:8" ht="17" x14ac:dyDescent="0.2">
      <c r="A128" s="22" t="s">
        <v>86</v>
      </c>
      <c r="B128" s="17">
        <v>72.095434519999969</v>
      </c>
      <c r="C128" s="17">
        <v>71.402186450000016</v>
      </c>
      <c r="D128" s="17">
        <v>52.646886149999993</v>
      </c>
      <c r="E128" s="17">
        <v>76.145374400000065</v>
      </c>
      <c r="F128" s="17">
        <v>81.68810430000002</v>
      </c>
      <c r="G128" s="17">
        <v>56.919576400000004</v>
      </c>
      <c r="H128" s="17">
        <v>76.01396584999992</v>
      </c>
    </row>
    <row r="129" spans="1:8" ht="17" x14ac:dyDescent="0.2">
      <c r="A129" s="22" t="s">
        <v>87</v>
      </c>
      <c r="B129" s="17">
        <v>46.418025149999991</v>
      </c>
      <c r="C129" s="17">
        <v>41.38858387999997</v>
      </c>
      <c r="D129" s="17">
        <v>54.34600373</v>
      </c>
      <c r="E129" s="17">
        <v>46.760169719999986</v>
      </c>
      <c r="F129" s="17">
        <v>47.222491109999979</v>
      </c>
      <c r="G129" s="17">
        <v>53.890257529999978</v>
      </c>
      <c r="H129" s="17">
        <v>48.857142919999994</v>
      </c>
    </row>
    <row r="130" spans="1:8" ht="17" x14ac:dyDescent="0.2">
      <c r="A130" s="23" t="s">
        <v>88</v>
      </c>
      <c r="B130" s="17">
        <v>35.917208180000003</v>
      </c>
      <c r="C130" s="17">
        <v>38.2884411</v>
      </c>
      <c r="D130" s="17">
        <v>37.559840150000007</v>
      </c>
      <c r="E130" s="17">
        <v>43.373584309999998</v>
      </c>
      <c r="F130" s="17">
        <v>38.212913119999996</v>
      </c>
      <c r="G130" s="17">
        <v>40.127481230000029</v>
      </c>
      <c r="H130" s="17">
        <v>42.786735080000021</v>
      </c>
    </row>
    <row r="131" spans="1:8" ht="17" x14ac:dyDescent="0.2">
      <c r="A131" s="23" t="s">
        <v>89</v>
      </c>
      <c r="B131" s="17">
        <v>22.273535509999995</v>
      </c>
      <c r="C131" s="17">
        <v>19.092604580000007</v>
      </c>
      <c r="D131" s="17">
        <v>20.89954937000001</v>
      </c>
      <c r="E131" s="17">
        <v>21.339635390000002</v>
      </c>
      <c r="F131" s="17">
        <v>28.949920989999999</v>
      </c>
      <c r="G131" s="17">
        <v>17.072130479999998</v>
      </c>
      <c r="H131" s="17">
        <v>27.119465649999981</v>
      </c>
    </row>
    <row r="132" spans="1:8" ht="17" x14ac:dyDescent="0.2">
      <c r="A132" s="25" t="s">
        <v>90</v>
      </c>
      <c r="B132" s="17"/>
      <c r="C132" s="17"/>
      <c r="D132" s="17"/>
      <c r="E132" s="17"/>
      <c r="F132" s="17"/>
      <c r="G132" s="17"/>
      <c r="H132" s="17"/>
    </row>
    <row r="133" spans="1:8" ht="17" x14ac:dyDescent="0.2">
      <c r="A133" s="24" t="s">
        <v>91</v>
      </c>
      <c r="B133" s="18">
        <v>0.38051664000000007</v>
      </c>
      <c r="C133" s="18">
        <v>14.232225960000003</v>
      </c>
      <c r="D133" s="18">
        <v>21.245600810000003</v>
      </c>
      <c r="E133" s="18">
        <v>4.8229155200000005</v>
      </c>
      <c r="F133" s="18">
        <v>25.22319426</v>
      </c>
      <c r="G133" s="18"/>
      <c r="H133" s="18"/>
    </row>
    <row r="134" spans="1:8" ht="17" x14ac:dyDescent="0.2">
      <c r="A134" s="20" t="s">
        <v>92</v>
      </c>
      <c r="B134" s="19" t="e">
        <v>#VALUE!</v>
      </c>
      <c r="C134" s="19">
        <v>0.12120575420416334</v>
      </c>
      <c r="D134" s="19">
        <v>8.5502818679003764E-2</v>
      </c>
      <c r="E134" s="19">
        <v>9.3742575504136408E-2</v>
      </c>
      <c r="F134" s="19">
        <v>9.4381100408822569E-2</v>
      </c>
      <c r="G134" s="19">
        <v>9.9798636006346211E-2</v>
      </c>
      <c r="H134" s="19">
        <v>0.1054851035634759</v>
      </c>
    </row>
    <row r="135" spans="1:8" ht="17" x14ac:dyDescent="0.2">
      <c r="A135" s="20" t="s">
        <v>93</v>
      </c>
      <c r="B135" s="19" t="e">
        <v>#VALUE!</v>
      </c>
      <c r="C135" s="19">
        <v>0.18613148631681811</v>
      </c>
      <c r="D135" s="19">
        <v>0.16790767176777027</v>
      </c>
      <c r="E135" s="19">
        <v>0.24464406462013327</v>
      </c>
      <c r="F135" s="19">
        <v>0.20483631844974456</v>
      </c>
      <c r="G135" s="19">
        <v>0.18523398983569514</v>
      </c>
      <c r="H135" s="19">
        <v>0.2111678327839844</v>
      </c>
    </row>
    <row r="136" spans="1:8" ht="17" x14ac:dyDescent="0.2">
      <c r="A136" s="20" t="s">
        <v>94</v>
      </c>
      <c r="B136" s="19" t="e">
        <v>#VALUE!</v>
      </c>
      <c r="C136" s="19">
        <v>0.39275175718233446</v>
      </c>
      <c r="D136" s="19">
        <v>0.42742322234823193</v>
      </c>
      <c r="E136" s="19">
        <v>0.45020310075442527</v>
      </c>
      <c r="F136" s="19">
        <v>0.44214231420531735</v>
      </c>
      <c r="G136" s="19">
        <v>0.43995743970880846</v>
      </c>
      <c r="H136" s="19">
        <v>0.57164042568570383</v>
      </c>
    </row>
    <row r="137" spans="1:8" ht="17" x14ac:dyDescent="0.2">
      <c r="A137" s="20" t="s">
        <v>95</v>
      </c>
      <c r="B137" s="19" t="e">
        <v>#VALUE!</v>
      </c>
      <c r="C137" s="19">
        <v>0.4320553263760733</v>
      </c>
      <c r="D137" s="19">
        <v>0.34100925463381765</v>
      </c>
      <c r="E137" s="19">
        <v>0.56598494941872945</v>
      </c>
      <c r="F137" s="19">
        <v>0.55931509812499736</v>
      </c>
      <c r="G137" s="19">
        <v>0.37994903061302765</v>
      </c>
      <c r="H137" s="19">
        <v>0.51745683852680802</v>
      </c>
    </row>
    <row r="138" spans="1:8" ht="17" x14ac:dyDescent="0.2">
      <c r="A138" s="20" t="s">
        <v>96</v>
      </c>
      <c r="B138" s="19" t="e">
        <v>#VALUE!</v>
      </c>
      <c r="C138" s="19">
        <v>0.57408051086117495</v>
      </c>
      <c r="D138" s="19">
        <v>0.76112520403077921</v>
      </c>
      <c r="E138" s="19">
        <v>0.88818490777920378</v>
      </c>
      <c r="F138" s="19">
        <v>0.6201623077185886</v>
      </c>
      <c r="G138" s="19">
        <v>0.65970753014524253</v>
      </c>
      <c r="H138" s="19">
        <v>0.85835394446118873</v>
      </c>
    </row>
    <row r="139" spans="1:8" ht="17" x14ac:dyDescent="0.2">
      <c r="A139" s="20" t="s">
        <v>97</v>
      </c>
      <c r="B139" s="19" t="e">
        <v>#VALUE!</v>
      </c>
      <c r="C139" s="19">
        <v>0.82486148379365098</v>
      </c>
      <c r="D139" s="19">
        <v>0.90749275836301058</v>
      </c>
      <c r="E139" s="19">
        <v>0.798100712712699</v>
      </c>
      <c r="F139" s="19">
        <v>0.81721074471754518</v>
      </c>
      <c r="G139" s="19">
        <v>0.84975358747015595</v>
      </c>
      <c r="H139" s="19">
        <v>0.79396048638626793</v>
      </c>
    </row>
    <row r="140" spans="1:8" ht="17" x14ac:dyDescent="0.2">
      <c r="A140" s="20" t="s">
        <v>98</v>
      </c>
      <c r="B140" s="19" t="e">
        <v>#VALUE!</v>
      </c>
      <c r="C140" s="19">
        <f>C134*C135*C136*C137*C138*C139</f>
        <v>1.812818866873073E-3</v>
      </c>
      <c r="D140" s="19">
        <f t="shared" ref="D140" si="26">D134*D135*D136*D137*D138*D139</f>
        <v>1.4453549786447937E-3</v>
      </c>
      <c r="E140" s="19">
        <f t="shared" ref="E140" si="27">E134*E135*E136*E137*E138*E139</f>
        <v>4.1423426209835947E-3</v>
      </c>
      <c r="F140" s="19">
        <f t="shared" ref="F140" si="28">F134*F135*F136*F137*F138*F139</f>
        <v>2.4229812658712528E-3</v>
      </c>
      <c r="G140" s="19">
        <f t="shared" ref="G140" si="29">G134*G135*G136*G137*G138*G139</f>
        <v>1.7323105161760753E-3</v>
      </c>
      <c r="H140" s="19">
        <f t="shared" ref="H140" si="30">H134*H135*H136*H137*H138*H139</f>
        <v>4.4903610022671613E-3</v>
      </c>
    </row>
    <row r="142" spans="1:8" ht="17" x14ac:dyDescent="0.2">
      <c r="A142" s="26" t="s">
        <v>25</v>
      </c>
      <c r="B142" s="27">
        <v>45748</v>
      </c>
      <c r="C142" s="27">
        <v>45778</v>
      </c>
      <c r="D142" s="27">
        <v>45809</v>
      </c>
      <c r="E142" s="27">
        <v>45839</v>
      </c>
      <c r="F142" s="27">
        <v>45870</v>
      </c>
      <c r="G142" s="27">
        <v>45901</v>
      </c>
      <c r="H142" s="27">
        <v>45931</v>
      </c>
    </row>
    <row r="143" spans="1:8" ht="17" x14ac:dyDescent="0.2">
      <c r="A143" s="28" t="s">
        <v>101</v>
      </c>
      <c r="B143" s="29">
        <v>18366.548462512092</v>
      </c>
      <c r="C143" s="29">
        <v>18769.305077133253</v>
      </c>
      <c r="D143" s="29">
        <v>19397.970787669885</v>
      </c>
      <c r="E143" s="29">
        <v>19653.316709570718</v>
      </c>
      <c r="F143" s="29">
        <v>20216.286728494528</v>
      </c>
      <c r="G143" s="29">
        <v>20886.544457684915</v>
      </c>
      <c r="H143" s="29">
        <v>21163.617171105634</v>
      </c>
    </row>
    <row r="144" spans="1:8" ht="17" x14ac:dyDescent="0.2">
      <c r="A144" s="20" t="s">
        <v>82</v>
      </c>
      <c r="B144" s="17">
        <v>15940.429359034806</v>
      </c>
      <c r="C144" s="17">
        <v>16197.915273173248</v>
      </c>
      <c r="D144" s="17">
        <v>17388.60538323989</v>
      </c>
      <c r="E144" s="17">
        <v>17350.770995550716</v>
      </c>
      <c r="F144" s="17">
        <v>17898.926002392971</v>
      </c>
      <c r="G144" s="17">
        <v>18482.011091327575</v>
      </c>
      <c r="H144" s="17">
        <v>18468.657021405634</v>
      </c>
    </row>
    <row r="145" spans="1:8" ht="17" x14ac:dyDescent="0.2">
      <c r="A145" s="21" t="s">
        <v>83</v>
      </c>
      <c r="B145" s="17">
        <v>1691.0664922872843</v>
      </c>
      <c r="C145" s="17">
        <v>1932.0717628000016</v>
      </c>
      <c r="D145" s="17">
        <v>1384.9674125799979</v>
      </c>
      <c r="E145" s="17">
        <v>1630.0526530499983</v>
      </c>
      <c r="F145" s="17">
        <v>1637.5848595015584</v>
      </c>
      <c r="G145" s="17">
        <v>1786.2884010173416</v>
      </c>
      <c r="H145" s="17">
        <v>1949.5768540299996</v>
      </c>
    </row>
    <row r="146" spans="1:8" ht="17" x14ac:dyDescent="0.2">
      <c r="A146" s="22" t="s">
        <v>84</v>
      </c>
      <c r="B146" s="17">
        <v>393.08673394000067</v>
      </c>
      <c r="C146" s="17">
        <v>314.76071967000024</v>
      </c>
      <c r="D146" s="17">
        <v>324.40967137999996</v>
      </c>
      <c r="E146" s="17">
        <v>338.82405717999978</v>
      </c>
      <c r="F146" s="17">
        <v>333.89398433000042</v>
      </c>
      <c r="G146" s="17">
        <v>303.33637721999992</v>
      </c>
      <c r="H146" s="17">
        <v>377.20665037000089</v>
      </c>
    </row>
    <row r="147" spans="1:8" ht="17" x14ac:dyDescent="0.2">
      <c r="A147" s="22" t="s">
        <v>85</v>
      </c>
      <c r="B147" s="17">
        <v>165.26167388999971</v>
      </c>
      <c r="C147" s="17">
        <v>154.38550548000006</v>
      </c>
      <c r="D147" s="17">
        <v>134.53604107000001</v>
      </c>
      <c r="E147" s="17">
        <v>146.05023997000012</v>
      </c>
      <c r="F147" s="17">
        <v>149.80845274999987</v>
      </c>
      <c r="G147" s="17">
        <v>146.89914247999999</v>
      </c>
      <c r="H147" s="17">
        <v>173.39933579999999</v>
      </c>
    </row>
    <row r="148" spans="1:8" ht="17" x14ac:dyDescent="0.2">
      <c r="A148" s="22" t="s">
        <v>86</v>
      </c>
      <c r="B148" s="17">
        <v>72.095434519999969</v>
      </c>
      <c r="C148" s="17">
        <v>71.402186450000016</v>
      </c>
      <c r="D148" s="17">
        <v>52.646886149999993</v>
      </c>
      <c r="E148" s="17">
        <v>76.145374400000065</v>
      </c>
      <c r="F148" s="17">
        <v>81.68810430000002</v>
      </c>
      <c r="G148" s="17">
        <v>56.919576400000004</v>
      </c>
      <c r="H148" s="17">
        <v>76.01396584999992</v>
      </c>
    </row>
    <row r="149" spans="1:8" ht="17" x14ac:dyDescent="0.2">
      <c r="A149" s="22" t="s">
        <v>87</v>
      </c>
      <c r="B149" s="17">
        <v>46.418025149999991</v>
      </c>
      <c r="C149" s="17">
        <v>41.38858387999997</v>
      </c>
      <c r="D149" s="17">
        <v>54.34600373</v>
      </c>
      <c r="E149" s="17">
        <v>46.760169719999986</v>
      </c>
      <c r="F149" s="17">
        <v>47.222491109999979</v>
      </c>
      <c r="G149" s="17">
        <v>53.890257529999978</v>
      </c>
      <c r="H149" s="17">
        <v>48.857142919999994</v>
      </c>
    </row>
    <row r="150" spans="1:8" ht="17" x14ac:dyDescent="0.2">
      <c r="A150" s="23" t="s">
        <v>88</v>
      </c>
      <c r="B150" s="17">
        <v>35.917208180000003</v>
      </c>
      <c r="C150" s="17">
        <v>38.2884411</v>
      </c>
      <c r="D150" s="17">
        <v>37.559840150000007</v>
      </c>
      <c r="E150" s="17">
        <v>43.373584309999998</v>
      </c>
      <c r="F150" s="17">
        <v>38.212913119999996</v>
      </c>
      <c r="G150" s="17">
        <v>40.127481230000029</v>
      </c>
      <c r="H150" s="17">
        <v>42.786735080000021</v>
      </c>
    </row>
    <row r="151" spans="1:8" ht="17" x14ac:dyDescent="0.2">
      <c r="A151" s="23" t="s">
        <v>89</v>
      </c>
      <c r="B151" s="17">
        <v>22.273535509999995</v>
      </c>
      <c r="C151" s="17">
        <v>19.092604580000007</v>
      </c>
      <c r="D151" s="17">
        <v>20.89954937000001</v>
      </c>
      <c r="E151" s="17">
        <v>21.339635390000002</v>
      </c>
      <c r="F151" s="17">
        <v>28.949920989999999</v>
      </c>
      <c r="G151" s="17">
        <v>17.072130479999998</v>
      </c>
      <c r="H151" s="17">
        <v>27.119465649999981</v>
      </c>
    </row>
    <row r="152" spans="1:8" ht="17" x14ac:dyDescent="0.2">
      <c r="A152" s="25" t="s">
        <v>90</v>
      </c>
      <c r="B152" s="17"/>
      <c r="C152" s="17"/>
      <c r="D152" s="17"/>
      <c r="E152" s="17"/>
      <c r="F152" s="17"/>
      <c r="G152" s="17"/>
      <c r="H152" s="17"/>
    </row>
    <row r="153" spans="1:8" ht="17" x14ac:dyDescent="0.2">
      <c r="A153" s="24" t="s">
        <v>91</v>
      </c>
      <c r="B153" s="18">
        <v>0.38051664000000007</v>
      </c>
      <c r="C153" s="18">
        <v>14.232225960000003</v>
      </c>
      <c r="D153" s="18">
        <v>21.245600810000003</v>
      </c>
      <c r="E153" s="18">
        <v>4.8229155200000005</v>
      </c>
      <c r="F153" s="18">
        <v>25.22319426</v>
      </c>
      <c r="G153" s="18"/>
      <c r="H153" s="18"/>
    </row>
    <row r="154" spans="1:8" ht="17" x14ac:dyDescent="0.2">
      <c r="A154" s="20" t="s">
        <v>92</v>
      </c>
      <c r="B154" s="19" t="e">
        <v>#VALUE!</v>
      </c>
      <c r="C154" s="19">
        <v>0.12120575420416334</v>
      </c>
      <c r="D154" s="19">
        <v>8.5502818679003764E-2</v>
      </c>
      <c r="E154" s="19">
        <v>9.3742575504136408E-2</v>
      </c>
      <c r="F154" s="19">
        <v>9.4381100408822569E-2</v>
      </c>
      <c r="G154" s="19">
        <v>9.9798636006346211E-2</v>
      </c>
      <c r="H154" s="19">
        <v>0.1054851035634759</v>
      </c>
    </row>
    <row r="155" spans="1:8" ht="17" x14ac:dyDescent="0.2">
      <c r="A155" s="20" t="s">
        <v>93</v>
      </c>
      <c r="B155" s="19" t="e">
        <v>#VALUE!</v>
      </c>
      <c r="C155" s="19">
        <v>0.18613148631681811</v>
      </c>
      <c r="D155" s="19">
        <v>0.16790767176777027</v>
      </c>
      <c r="E155" s="19">
        <v>0.24464406462013327</v>
      </c>
      <c r="F155" s="19">
        <v>0.20483631844974456</v>
      </c>
      <c r="G155" s="19">
        <v>0.18523398983569514</v>
      </c>
      <c r="H155" s="19">
        <v>0.2111678327839844</v>
      </c>
    </row>
    <row r="156" spans="1:8" ht="17" x14ac:dyDescent="0.2">
      <c r="A156" s="20" t="s">
        <v>94</v>
      </c>
      <c r="B156" s="19" t="e">
        <v>#VALUE!</v>
      </c>
      <c r="C156" s="19">
        <v>0.39275175718233446</v>
      </c>
      <c r="D156" s="19">
        <v>0.42742322234823193</v>
      </c>
      <c r="E156" s="19">
        <v>0.45020310075442527</v>
      </c>
      <c r="F156" s="19">
        <v>0.44214231420531735</v>
      </c>
      <c r="G156" s="19">
        <v>0.43995743970880846</v>
      </c>
      <c r="H156" s="19">
        <v>0.57164042568570383</v>
      </c>
    </row>
    <row r="157" spans="1:8" ht="17" x14ac:dyDescent="0.2">
      <c r="A157" s="20" t="s">
        <v>95</v>
      </c>
      <c r="B157" s="19" t="e">
        <v>#VALUE!</v>
      </c>
      <c r="C157" s="19">
        <v>0.4320553263760733</v>
      </c>
      <c r="D157" s="19">
        <v>0.34100925463381765</v>
      </c>
      <c r="E157" s="19">
        <v>0.56598494941872945</v>
      </c>
      <c r="F157" s="19">
        <v>0.55931509812499736</v>
      </c>
      <c r="G157" s="19">
        <v>0.37994903061302765</v>
      </c>
      <c r="H157" s="19">
        <v>0.51745683852680802</v>
      </c>
    </row>
    <row r="158" spans="1:8" ht="17" x14ac:dyDescent="0.2">
      <c r="A158" s="20" t="s">
        <v>96</v>
      </c>
      <c r="B158" s="19" t="e">
        <v>#VALUE!</v>
      </c>
      <c r="C158" s="19">
        <v>0.57408051086117495</v>
      </c>
      <c r="D158" s="19">
        <v>0.76112520403077921</v>
      </c>
      <c r="E158" s="19">
        <v>0.88818490777920378</v>
      </c>
      <c r="F158" s="19">
        <v>0.6201623077185886</v>
      </c>
      <c r="G158" s="19">
        <v>0.65970753014524253</v>
      </c>
      <c r="H158" s="19">
        <v>0.85835394446118873</v>
      </c>
    </row>
    <row r="159" spans="1:8" ht="17" x14ac:dyDescent="0.2">
      <c r="A159" s="20" t="s">
        <v>97</v>
      </c>
      <c r="B159" s="19" t="e">
        <v>#VALUE!</v>
      </c>
      <c r="C159" s="19">
        <v>0.82486148379365098</v>
      </c>
      <c r="D159" s="19">
        <v>0.90749275836301058</v>
      </c>
      <c r="E159" s="19">
        <v>0.798100712712699</v>
      </c>
      <c r="F159" s="19">
        <v>0.81721074471754518</v>
      </c>
      <c r="G159" s="19">
        <v>0.84975358747015595</v>
      </c>
      <c r="H159" s="19">
        <v>0.79396048638626793</v>
      </c>
    </row>
    <row r="160" spans="1:8" ht="17" x14ac:dyDescent="0.2">
      <c r="A160" s="20" t="s">
        <v>98</v>
      </c>
      <c r="B160" s="19" t="e">
        <v>#VALUE!</v>
      </c>
      <c r="C160" s="19">
        <f>C154*C155*C156*C157*C158*C159</f>
        <v>1.812818866873073E-3</v>
      </c>
      <c r="D160" s="19">
        <f t="shared" ref="D160" si="31">D154*D155*D156*D157*D158*D159</f>
        <v>1.4453549786447937E-3</v>
      </c>
      <c r="E160" s="19">
        <f t="shared" ref="E160" si="32">E154*E155*E156*E157*E158*E159</f>
        <v>4.1423426209835947E-3</v>
      </c>
      <c r="F160" s="19">
        <f t="shared" ref="F160" si="33">F154*F155*F156*F157*F158*F159</f>
        <v>2.4229812658712528E-3</v>
      </c>
      <c r="G160" s="19">
        <f t="shared" ref="G160" si="34">G154*G155*G156*G157*G158*G159</f>
        <v>1.7323105161760753E-3</v>
      </c>
      <c r="H160" s="19">
        <f t="shared" ref="H160" si="35">H154*H155*H156*H157*H158*H159</f>
        <v>4.4903610022671613E-3</v>
      </c>
    </row>
  </sheetData>
  <conditionalFormatting sqref="B39">
    <cfRule type="colorScale" priority="150">
      <colorScale>
        <cfvo type="min"/>
        <cfvo type="max"/>
        <color theme="8" tint="0.39997558519241921"/>
        <color theme="5" tint="0.39997558519241921"/>
      </colorScale>
    </cfRule>
    <cfRule type="colorScale" priority="149">
      <colorScale>
        <cfvo type="min"/>
        <cfvo type="max"/>
        <color theme="4"/>
        <color theme="5"/>
      </colorScale>
    </cfRule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9">
    <cfRule type="colorScale" priority="126">
      <colorScale>
        <cfvo type="min"/>
        <cfvo type="max"/>
        <color theme="8" tint="0.39997558519241921"/>
        <color theme="5" tint="0.39997558519241921"/>
      </colorScale>
    </cfRule>
    <cfRule type="colorScale" priority="125">
      <colorScale>
        <cfvo type="min"/>
        <cfvo type="max"/>
        <color theme="4"/>
        <color theme="5"/>
      </colorScale>
    </cfRule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0">
    <cfRule type="colorScale" priority="102">
      <colorScale>
        <cfvo type="min"/>
        <cfvo type="max"/>
        <color theme="8" tint="0.39997558519241921"/>
        <color theme="5" tint="0.39997558519241921"/>
      </colorScale>
    </cfRule>
    <cfRule type="colorScale" priority="101">
      <colorScale>
        <cfvo type="min"/>
        <cfvo type="max"/>
        <color theme="4"/>
        <color theme="5"/>
      </colorScale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0">
    <cfRule type="colorScale" priority="78">
      <colorScale>
        <cfvo type="min"/>
        <cfvo type="max"/>
        <color theme="8" tint="0.39997558519241921"/>
        <color theme="5" tint="0.39997558519241921"/>
      </colorScale>
    </cfRule>
    <cfRule type="colorScale" priority="77">
      <colorScale>
        <cfvo type="min"/>
        <cfvo type="max"/>
        <color theme="4"/>
        <color theme="5"/>
      </colorScale>
    </cfRule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0">
    <cfRule type="colorScale" priority="54">
      <colorScale>
        <cfvo type="min"/>
        <cfvo type="max"/>
        <color theme="8" tint="0.39997558519241921"/>
        <color theme="5" tint="0.39997558519241921"/>
      </colorScale>
    </cfRule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3">
      <colorScale>
        <cfvo type="min"/>
        <cfvo type="max"/>
        <color theme="4"/>
        <color theme="5"/>
      </colorScale>
    </cfRule>
  </conditionalFormatting>
  <conditionalFormatting sqref="B140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">
      <colorScale>
        <cfvo type="min"/>
        <cfvo type="max"/>
        <color theme="4"/>
        <color theme="5"/>
      </colorScale>
    </cfRule>
    <cfRule type="colorScale" priority="30">
      <colorScale>
        <cfvo type="min"/>
        <cfvo type="max"/>
        <color theme="8" tint="0.39997558519241921"/>
        <color theme="5" tint="0.39997558519241921"/>
      </colorScale>
    </cfRule>
  </conditionalFormatting>
  <conditionalFormatting sqref="B160">
    <cfRule type="colorScale" priority="6">
      <colorScale>
        <cfvo type="min"/>
        <cfvo type="max"/>
        <color theme="8" tint="0.39997558519241921"/>
        <color theme="5" tint="0.39997558519241921"/>
      </colorScale>
    </cfRule>
    <cfRule type="colorScale" priority="5">
      <colorScale>
        <cfvo type="min"/>
        <cfvo type="max"/>
        <color theme="4"/>
        <color theme="5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H13">
    <cfRule type="colorScale" priority="191">
      <colorScale>
        <cfvo type="min"/>
        <cfvo type="max"/>
        <color theme="4"/>
        <color theme="5"/>
      </colorScale>
    </cfRule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2">
      <colorScale>
        <cfvo type="min"/>
        <cfvo type="max"/>
        <color theme="8" tint="0.39997558519241921"/>
        <color theme="5" tint="0.39997558519241921"/>
      </colorScale>
    </cfRule>
  </conditionalFormatting>
  <conditionalFormatting sqref="B14:H14">
    <cfRule type="colorScale" priority="195">
      <colorScale>
        <cfvo type="min"/>
        <cfvo type="max"/>
        <color theme="8" tint="0.39997558519241921"/>
        <color theme="5" tint="0.39997558519241921"/>
      </colorScale>
    </cfRule>
    <cfRule type="colorScale" priority="194">
      <colorScale>
        <cfvo type="min"/>
        <cfvo type="max"/>
        <color theme="4"/>
        <color theme="5"/>
      </colorScale>
    </cfRule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H15">
    <cfRule type="colorScale" priority="198">
      <colorScale>
        <cfvo type="min"/>
        <cfvo type="max"/>
        <color theme="8" tint="0.39997558519241921"/>
        <color theme="5" tint="0.39997558519241921"/>
      </colorScale>
    </cfRule>
    <cfRule type="colorScale" priority="197">
      <colorScale>
        <cfvo type="min"/>
        <cfvo type="max"/>
        <color theme="4"/>
        <color theme="5"/>
      </colorScale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H16">
    <cfRule type="colorScale" priority="200">
      <colorScale>
        <cfvo type="min"/>
        <cfvo type="max"/>
        <color theme="4"/>
        <color theme="5"/>
      </colorScale>
    </cfRule>
    <cfRule type="colorScale" priority="201">
      <colorScale>
        <cfvo type="min"/>
        <cfvo type="max"/>
        <color theme="8" tint="0.39997558519241921"/>
        <color theme="5" tint="0.39997558519241921"/>
      </colorScale>
    </cfRule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H17">
    <cfRule type="colorScale" priority="203">
      <colorScale>
        <cfvo type="min"/>
        <cfvo type="max"/>
        <color theme="4"/>
        <color theme="5"/>
      </colorScale>
    </cfRule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4">
      <colorScale>
        <cfvo type="min"/>
        <cfvo type="max"/>
        <color theme="8" tint="0.39997558519241921"/>
        <color theme="5" tint="0.39997558519241921"/>
      </colorScale>
    </cfRule>
  </conditionalFormatting>
  <conditionalFormatting sqref="B18:H18 B19">
    <cfRule type="colorScale" priority="207">
      <colorScale>
        <cfvo type="min"/>
        <cfvo type="max"/>
        <color theme="8" tint="0.39997558519241921"/>
        <color theme="5" tint="0.39997558519241921"/>
      </colorScale>
    </cfRule>
    <cfRule type="colorScale" priority="206">
      <colorScale>
        <cfvo type="min"/>
        <cfvo type="max"/>
        <color theme="4"/>
        <color theme="5"/>
      </colorScale>
    </cfRule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H33">
    <cfRule type="colorScale" priority="156">
      <colorScale>
        <cfvo type="min"/>
        <cfvo type="max"/>
        <color theme="8" tint="0.39997558519241921"/>
        <color theme="5" tint="0.39997558519241921"/>
      </colorScale>
    </cfRule>
    <cfRule type="colorScale" priority="155">
      <colorScale>
        <cfvo type="min"/>
        <cfvo type="max"/>
        <color theme="4"/>
        <color theme="5"/>
      </colorScale>
    </cfRule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H34">
    <cfRule type="colorScale" priority="158">
      <colorScale>
        <cfvo type="min"/>
        <cfvo type="max"/>
        <color theme="4"/>
        <color theme="5"/>
      </colorScale>
    </cfRule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">
      <colorScale>
        <cfvo type="min"/>
        <cfvo type="max"/>
        <color theme="8" tint="0.39997558519241921"/>
        <color theme="5" tint="0.39997558519241921"/>
      </colorScale>
    </cfRule>
  </conditionalFormatting>
  <conditionalFormatting sqref="B35:H35">
    <cfRule type="colorScale" priority="161">
      <colorScale>
        <cfvo type="min"/>
        <cfvo type="max"/>
        <color theme="4"/>
        <color theme="5"/>
      </colorScale>
    </cfRule>
    <cfRule type="colorScale" priority="162">
      <colorScale>
        <cfvo type="min"/>
        <cfvo type="max"/>
        <color theme="8" tint="0.39997558519241921"/>
        <color theme="5" tint="0.39997558519241921"/>
      </colorScale>
    </cfRule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H36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4">
      <colorScale>
        <cfvo type="min"/>
        <cfvo type="max"/>
        <color theme="4"/>
        <color theme="5"/>
      </colorScale>
    </cfRule>
    <cfRule type="colorScale" priority="165">
      <colorScale>
        <cfvo type="min"/>
        <cfvo type="max"/>
        <color theme="8" tint="0.39997558519241921"/>
        <color theme="5" tint="0.39997558519241921"/>
      </colorScale>
    </cfRule>
  </conditionalFormatting>
  <conditionalFormatting sqref="B37:H37">
    <cfRule type="colorScale" priority="168">
      <colorScale>
        <cfvo type="min"/>
        <cfvo type="max"/>
        <color theme="8" tint="0.39997558519241921"/>
        <color theme="5" tint="0.39997558519241921"/>
      </colorScale>
    </cfRule>
    <cfRule type="colorScale" priority="167">
      <colorScale>
        <cfvo type="min"/>
        <cfvo type="max"/>
        <color theme="4"/>
        <color theme="5"/>
      </colorScale>
    </cfRule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H38">
    <cfRule type="colorScale" priority="171">
      <colorScale>
        <cfvo type="min"/>
        <cfvo type="max"/>
        <color theme="8" tint="0.39997558519241921"/>
        <color theme="5" tint="0.39997558519241921"/>
      </colorScale>
    </cfRule>
    <cfRule type="colorScale" priority="170">
      <colorScale>
        <cfvo type="min"/>
        <cfvo type="max"/>
        <color theme="4"/>
        <color theme="5"/>
      </colorScale>
    </cfRule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3:H53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">
      <colorScale>
        <cfvo type="min"/>
        <cfvo type="max"/>
        <color theme="4"/>
        <color theme="5"/>
      </colorScale>
    </cfRule>
    <cfRule type="colorScale" priority="129">
      <colorScale>
        <cfvo type="min"/>
        <cfvo type="max"/>
        <color theme="8" tint="0.39997558519241921"/>
        <color theme="5" tint="0.39997558519241921"/>
      </colorScale>
    </cfRule>
  </conditionalFormatting>
  <conditionalFormatting sqref="B54:H54">
    <cfRule type="colorScale" priority="132">
      <colorScale>
        <cfvo type="min"/>
        <cfvo type="max"/>
        <color theme="8" tint="0.39997558519241921"/>
        <color theme="5" tint="0.39997558519241921"/>
      </colorScale>
    </cfRule>
    <cfRule type="colorScale" priority="131">
      <colorScale>
        <cfvo type="min"/>
        <cfvo type="max"/>
        <color theme="4"/>
        <color theme="5"/>
      </colorScale>
    </cfRule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5:H55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">
      <colorScale>
        <cfvo type="min"/>
        <cfvo type="max"/>
        <color theme="4"/>
        <color theme="5"/>
      </colorScale>
    </cfRule>
    <cfRule type="colorScale" priority="135">
      <colorScale>
        <cfvo type="min"/>
        <cfvo type="max"/>
        <color theme="8" tint="0.39997558519241921"/>
        <color theme="5" tint="0.39997558519241921"/>
      </colorScale>
    </cfRule>
  </conditionalFormatting>
  <conditionalFormatting sqref="B56:H56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">
      <colorScale>
        <cfvo type="min"/>
        <cfvo type="max"/>
        <color theme="4"/>
        <color theme="5"/>
      </colorScale>
    </cfRule>
    <cfRule type="colorScale" priority="138">
      <colorScale>
        <cfvo type="min"/>
        <cfvo type="max"/>
        <color theme="8" tint="0.39997558519241921"/>
        <color theme="5" tint="0.39997558519241921"/>
      </colorScale>
    </cfRule>
  </conditionalFormatting>
  <conditionalFormatting sqref="B57:H57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">
      <colorScale>
        <cfvo type="min"/>
        <cfvo type="max"/>
        <color theme="4"/>
        <color theme="5"/>
      </colorScale>
    </cfRule>
    <cfRule type="colorScale" priority="141">
      <colorScale>
        <cfvo type="min"/>
        <cfvo type="max"/>
        <color theme="8" tint="0.39997558519241921"/>
        <color theme="5" tint="0.39997558519241921"/>
      </colorScale>
    </cfRule>
  </conditionalFormatting>
  <conditionalFormatting sqref="B58:H58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">
      <colorScale>
        <cfvo type="min"/>
        <cfvo type="max"/>
        <color theme="4"/>
        <color theme="5"/>
      </colorScale>
    </cfRule>
    <cfRule type="colorScale" priority="144">
      <colorScale>
        <cfvo type="min"/>
        <cfvo type="max"/>
        <color theme="8" tint="0.39997558519241921"/>
        <color theme="5" tint="0.39997558519241921"/>
      </colorScale>
    </cfRule>
  </conditionalFormatting>
  <conditionalFormatting sqref="B74:H74">
    <cfRule type="colorScale" priority="105">
      <colorScale>
        <cfvo type="min"/>
        <cfvo type="max"/>
        <color theme="8" tint="0.39997558519241921"/>
        <color theme="5" tint="0.39997558519241921"/>
      </colorScale>
    </cfRule>
    <cfRule type="colorScale" priority="104">
      <colorScale>
        <cfvo type="min"/>
        <cfvo type="max"/>
        <color theme="4"/>
        <color theme="5"/>
      </colorScale>
    </cfRule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5:H75">
    <cfRule type="colorScale" priority="108">
      <colorScale>
        <cfvo type="min"/>
        <cfvo type="max"/>
        <color theme="8" tint="0.39997558519241921"/>
        <color theme="5" tint="0.39997558519241921"/>
      </colorScale>
    </cfRule>
    <cfRule type="colorScale" priority="107">
      <colorScale>
        <cfvo type="min"/>
        <cfvo type="max"/>
        <color theme="4"/>
        <color theme="5"/>
      </colorScale>
    </cfRule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6:H7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">
      <colorScale>
        <cfvo type="min"/>
        <cfvo type="max"/>
        <color theme="4"/>
        <color theme="5"/>
      </colorScale>
    </cfRule>
    <cfRule type="colorScale" priority="111">
      <colorScale>
        <cfvo type="min"/>
        <cfvo type="max"/>
        <color theme="8" tint="0.39997558519241921"/>
        <color theme="5" tint="0.39997558519241921"/>
      </colorScale>
    </cfRule>
  </conditionalFormatting>
  <conditionalFormatting sqref="B77:H77">
    <cfRule type="colorScale" priority="114">
      <colorScale>
        <cfvo type="min"/>
        <cfvo type="max"/>
        <color theme="8" tint="0.39997558519241921"/>
        <color theme="5" tint="0.39997558519241921"/>
      </colorScale>
    </cfRule>
    <cfRule type="colorScale" priority="113">
      <colorScale>
        <cfvo type="min"/>
        <cfvo type="max"/>
        <color theme="4"/>
        <color theme="5"/>
      </colorScale>
    </cfRule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8:H78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">
      <colorScale>
        <cfvo type="min"/>
        <cfvo type="max"/>
        <color theme="4"/>
        <color theme="5"/>
      </colorScale>
    </cfRule>
    <cfRule type="colorScale" priority="117">
      <colorScale>
        <cfvo type="min"/>
        <cfvo type="max"/>
        <color theme="8" tint="0.39997558519241921"/>
        <color theme="5" tint="0.39997558519241921"/>
      </colorScale>
    </cfRule>
  </conditionalFormatting>
  <conditionalFormatting sqref="B79:H79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">
      <colorScale>
        <cfvo type="min"/>
        <cfvo type="max"/>
        <color theme="4"/>
        <color theme="5"/>
      </colorScale>
    </cfRule>
    <cfRule type="colorScale" priority="120">
      <colorScale>
        <cfvo type="min"/>
        <cfvo type="max"/>
        <color theme="8" tint="0.39997558519241921"/>
        <color theme="5" tint="0.39997558519241921"/>
      </colorScale>
    </cfRule>
  </conditionalFormatting>
  <conditionalFormatting sqref="B94:H94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1">
      <colorScale>
        <cfvo type="min"/>
        <cfvo type="max"/>
        <color theme="8" tint="0.39997558519241921"/>
        <color theme="5" tint="0.39997558519241921"/>
      </colorScale>
    </cfRule>
    <cfRule type="colorScale" priority="80">
      <colorScale>
        <cfvo type="min"/>
        <cfvo type="max"/>
        <color theme="4"/>
        <color theme="5"/>
      </colorScale>
    </cfRule>
  </conditionalFormatting>
  <conditionalFormatting sqref="B95:H95">
    <cfRule type="colorScale" priority="84">
      <colorScale>
        <cfvo type="min"/>
        <cfvo type="max"/>
        <color theme="8" tint="0.39997558519241921"/>
        <color theme="5" tint="0.39997558519241921"/>
      </colorScale>
    </cfRule>
    <cfRule type="colorScale" priority="83">
      <colorScale>
        <cfvo type="min"/>
        <cfvo type="max"/>
        <color theme="4"/>
        <color theme="5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6:H96">
    <cfRule type="colorScale" priority="86">
      <colorScale>
        <cfvo type="min"/>
        <cfvo type="max"/>
        <color theme="4"/>
        <color theme="5"/>
      </colorScale>
    </cfRule>
    <cfRule type="colorScale" priority="87">
      <colorScale>
        <cfvo type="min"/>
        <cfvo type="max"/>
        <color theme="8" tint="0.39997558519241921"/>
        <color theme="5" tint="0.39997558519241921"/>
      </colorScale>
    </cfRule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7:H97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9">
      <colorScale>
        <cfvo type="min"/>
        <cfvo type="max"/>
        <color theme="4"/>
        <color theme="5"/>
      </colorScale>
    </cfRule>
    <cfRule type="colorScale" priority="90">
      <colorScale>
        <cfvo type="min"/>
        <cfvo type="max"/>
        <color theme="8" tint="0.39997558519241921"/>
        <color theme="5" tint="0.39997558519241921"/>
      </colorScale>
    </cfRule>
  </conditionalFormatting>
  <conditionalFormatting sqref="B98:H98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2">
      <colorScale>
        <cfvo type="min"/>
        <cfvo type="max"/>
        <color theme="4"/>
        <color theme="5"/>
      </colorScale>
    </cfRule>
    <cfRule type="colorScale" priority="93">
      <colorScale>
        <cfvo type="min"/>
        <cfvo type="max"/>
        <color theme="8" tint="0.39997558519241921"/>
        <color theme="5" tint="0.39997558519241921"/>
      </colorScale>
    </cfRule>
  </conditionalFormatting>
  <conditionalFormatting sqref="B99:H99">
    <cfRule type="colorScale" priority="95">
      <colorScale>
        <cfvo type="min"/>
        <cfvo type="max"/>
        <color theme="4"/>
        <color theme="5"/>
      </colorScale>
    </cfRule>
    <cfRule type="colorScale" priority="96">
      <colorScale>
        <cfvo type="min"/>
        <cfvo type="max"/>
        <color theme="8" tint="0.39997558519241921"/>
        <color theme="5" tint="0.39997558519241921"/>
      </colorScale>
    </cfRule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4:H11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">
      <colorScale>
        <cfvo type="min"/>
        <cfvo type="max"/>
        <color theme="8" tint="0.39997558519241921"/>
        <color theme="5" tint="0.39997558519241921"/>
      </colorScale>
    </cfRule>
    <cfRule type="colorScale" priority="56">
      <colorScale>
        <cfvo type="min"/>
        <cfvo type="max"/>
        <color theme="4"/>
        <color theme="5"/>
      </colorScale>
    </cfRule>
  </conditionalFormatting>
  <conditionalFormatting sqref="B115:H115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">
      <colorScale>
        <cfvo type="min"/>
        <cfvo type="max"/>
        <color theme="8" tint="0.39997558519241921"/>
        <color theme="5" tint="0.39997558519241921"/>
      </colorScale>
    </cfRule>
    <cfRule type="colorScale" priority="59">
      <colorScale>
        <cfvo type="min"/>
        <cfvo type="max"/>
        <color theme="4"/>
        <color theme="5"/>
      </colorScale>
    </cfRule>
  </conditionalFormatting>
  <conditionalFormatting sqref="B116:H116">
    <cfRule type="colorScale" priority="63">
      <colorScale>
        <cfvo type="min"/>
        <cfvo type="max"/>
        <color theme="8" tint="0.39997558519241921"/>
        <color theme="5" tint="0.39997558519241921"/>
      </colorScale>
    </cfRule>
    <cfRule type="colorScale" priority="62">
      <colorScale>
        <cfvo type="min"/>
        <cfvo type="max"/>
        <color theme="4"/>
        <color theme="5"/>
      </colorScale>
    </cfRule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7:H117">
    <cfRule type="colorScale" priority="66">
      <colorScale>
        <cfvo type="min"/>
        <cfvo type="max"/>
        <color theme="8" tint="0.39997558519241921"/>
        <color theme="5" tint="0.39997558519241921"/>
      </colorScale>
    </cfRule>
    <cfRule type="colorScale" priority="65">
      <colorScale>
        <cfvo type="min"/>
        <cfvo type="max"/>
        <color theme="4"/>
        <color theme="5"/>
      </colorScale>
    </cfRule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8:H118">
    <cfRule type="colorScale" priority="69">
      <colorScale>
        <cfvo type="min"/>
        <cfvo type="max"/>
        <color theme="8" tint="0.39997558519241921"/>
        <color theme="5" tint="0.39997558519241921"/>
      </colorScale>
    </cfRule>
    <cfRule type="colorScale" priority="68">
      <colorScale>
        <cfvo type="min"/>
        <cfvo type="max"/>
        <color theme="4"/>
        <color theme="5"/>
      </colorScale>
    </cfRule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9:H119">
    <cfRule type="colorScale" priority="72">
      <colorScale>
        <cfvo type="min"/>
        <cfvo type="max"/>
        <color theme="8" tint="0.39997558519241921"/>
        <color theme="5" tint="0.39997558519241921"/>
      </colorScale>
    </cfRule>
    <cfRule type="colorScale" priority="71">
      <colorScale>
        <cfvo type="min"/>
        <cfvo type="max"/>
        <color theme="4"/>
        <color theme="5"/>
      </colorScale>
    </cfRule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4:H134">
    <cfRule type="colorScale" priority="33">
      <colorScale>
        <cfvo type="min"/>
        <cfvo type="max"/>
        <color theme="8" tint="0.39997558519241921"/>
        <color theme="5" tint="0.39997558519241921"/>
      </colorScale>
    </cfRule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">
      <colorScale>
        <cfvo type="min"/>
        <cfvo type="max"/>
        <color theme="4"/>
        <color theme="5"/>
      </colorScale>
    </cfRule>
  </conditionalFormatting>
  <conditionalFormatting sqref="B135:H13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">
      <colorScale>
        <cfvo type="min"/>
        <cfvo type="max"/>
        <color theme="4"/>
        <color theme="5"/>
      </colorScale>
    </cfRule>
    <cfRule type="colorScale" priority="36">
      <colorScale>
        <cfvo type="min"/>
        <cfvo type="max"/>
        <color theme="8" tint="0.39997558519241921"/>
        <color theme="5" tint="0.39997558519241921"/>
      </colorScale>
    </cfRule>
  </conditionalFormatting>
  <conditionalFormatting sqref="B136:H136">
    <cfRule type="colorScale" priority="39">
      <colorScale>
        <cfvo type="min"/>
        <cfvo type="max"/>
        <color theme="8" tint="0.39997558519241921"/>
        <color theme="5" tint="0.39997558519241921"/>
      </colorScale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">
      <colorScale>
        <cfvo type="min"/>
        <cfvo type="max"/>
        <color theme="4"/>
        <color theme="5"/>
      </colorScale>
    </cfRule>
  </conditionalFormatting>
  <conditionalFormatting sqref="B137:H137">
    <cfRule type="colorScale" priority="42">
      <colorScale>
        <cfvo type="min"/>
        <cfvo type="max"/>
        <color theme="8" tint="0.39997558519241921"/>
        <color theme="5" tint="0.39997558519241921"/>
      </colorScale>
    </cfRule>
    <cfRule type="colorScale" priority="41">
      <colorScale>
        <cfvo type="min"/>
        <cfvo type="max"/>
        <color theme="4"/>
        <color theme="5"/>
      </colorScale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8:H138">
    <cfRule type="colorScale" priority="45">
      <colorScale>
        <cfvo type="min"/>
        <cfvo type="max"/>
        <color theme="8" tint="0.39997558519241921"/>
        <color theme="5" tint="0.39997558519241921"/>
      </colorScale>
    </cfRule>
    <cfRule type="colorScale" priority="44">
      <colorScale>
        <cfvo type="min"/>
        <cfvo type="max"/>
        <color theme="4"/>
        <color theme="5"/>
      </colorScale>
    </cfRule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9:H139">
    <cfRule type="colorScale" priority="48">
      <colorScale>
        <cfvo type="min"/>
        <cfvo type="max"/>
        <color theme="8" tint="0.39997558519241921"/>
        <color theme="5" tint="0.39997558519241921"/>
      </colorScale>
    </cfRule>
    <cfRule type="colorScale" priority="47">
      <colorScale>
        <cfvo type="min"/>
        <cfvo type="max"/>
        <color theme="4"/>
        <color theme="5"/>
      </colorScale>
    </cfRule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4:H154">
    <cfRule type="colorScale" priority="9">
      <colorScale>
        <cfvo type="min"/>
        <cfvo type="max"/>
        <color theme="8" tint="0.39997558519241921"/>
        <color theme="5" tint="0.39997558519241921"/>
      </colorScale>
    </cfRule>
    <cfRule type="colorScale" priority="8">
      <colorScale>
        <cfvo type="min"/>
        <cfvo type="max"/>
        <color theme="4"/>
        <color theme="5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5:H155">
    <cfRule type="colorScale" priority="11">
      <colorScale>
        <cfvo type="min"/>
        <cfvo type="max"/>
        <color theme="4"/>
        <color theme="5"/>
      </colorScale>
    </cfRule>
    <cfRule type="colorScale" priority="12">
      <colorScale>
        <cfvo type="min"/>
        <cfvo type="max"/>
        <color theme="8" tint="0.39997558519241921"/>
        <color theme="5" tint="0.39997558519241921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6:H156">
    <cfRule type="colorScale" priority="15">
      <colorScale>
        <cfvo type="min"/>
        <cfvo type="max"/>
        <color theme="8" tint="0.39997558519241921"/>
        <color theme="5" tint="0.39997558519241921"/>
      </colorScale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max"/>
        <color theme="4"/>
        <color theme="5"/>
      </colorScale>
    </cfRule>
  </conditionalFormatting>
  <conditionalFormatting sqref="B157:H157">
    <cfRule type="colorScale" priority="18">
      <colorScale>
        <cfvo type="min"/>
        <cfvo type="max"/>
        <color theme="8" tint="0.39997558519241921"/>
        <color theme="5" tint="0.39997558519241921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max"/>
        <color theme="4"/>
        <color theme="5"/>
      </colorScale>
    </cfRule>
  </conditionalFormatting>
  <conditionalFormatting sqref="B158:H158">
    <cfRule type="colorScale" priority="21">
      <colorScale>
        <cfvo type="min"/>
        <cfvo type="max"/>
        <color theme="8" tint="0.39997558519241921"/>
        <color theme="5" tint="0.39997558519241921"/>
      </colorScale>
    </cfRule>
    <cfRule type="colorScale" priority="20">
      <colorScale>
        <cfvo type="min"/>
        <cfvo type="max"/>
        <color theme="4"/>
        <color theme="5"/>
      </colorScale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9:H159">
    <cfRule type="colorScale" priority="24">
      <colorScale>
        <cfvo type="min"/>
        <cfvo type="max"/>
        <color theme="8" tint="0.39997558519241921"/>
        <color theme="5" tint="0.39997558519241921"/>
      </colorScale>
    </cfRule>
    <cfRule type="colorScale" priority="23">
      <colorScale>
        <cfvo type="min"/>
        <cfvo type="max"/>
        <color theme="4"/>
        <color theme="5"/>
      </colorScale>
    </cfRule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H19">
    <cfRule type="colorScale" priority="153">
      <colorScale>
        <cfvo type="min"/>
        <cfvo type="max"/>
        <color theme="8" tint="0.39997558519241921"/>
        <color theme="5" tint="0.39997558519241921"/>
      </colorScale>
    </cfRule>
    <cfRule type="colorScale" priority="152">
      <colorScale>
        <cfvo type="min"/>
        <cfvo type="max"/>
        <color theme="4"/>
        <color theme="5"/>
      </colorScale>
    </cfRule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9:H39">
    <cfRule type="colorScale" priority="147">
      <colorScale>
        <cfvo type="min"/>
        <cfvo type="max"/>
        <color theme="8" tint="0.39997558519241921"/>
        <color theme="5" tint="0.39997558519241921"/>
      </colorScale>
    </cfRule>
    <cfRule type="colorScale" priority="146">
      <colorScale>
        <cfvo type="min"/>
        <cfvo type="max"/>
        <color theme="4"/>
        <color theme="5"/>
      </colorScale>
    </cfRule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9:H59">
    <cfRule type="colorScale" priority="123">
      <colorScale>
        <cfvo type="min"/>
        <cfvo type="max"/>
        <color theme="8" tint="0.39997558519241921"/>
        <color theme="5" tint="0.39997558519241921"/>
      </colorScale>
    </cfRule>
    <cfRule type="colorScale" priority="122">
      <colorScale>
        <cfvo type="min"/>
        <cfvo type="max"/>
        <color theme="4"/>
        <color theme="5"/>
      </colorScale>
    </cfRule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0:H80">
    <cfRule type="colorScale" priority="99">
      <colorScale>
        <cfvo type="min"/>
        <cfvo type="max"/>
        <color theme="8" tint="0.39997558519241921"/>
        <color theme="5" tint="0.39997558519241921"/>
      </colorScale>
    </cfRule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8">
      <colorScale>
        <cfvo type="min"/>
        <cfvo type="max"/>
        <color theme="4"/>
        <color theme="5"/>
      </colorScale>
    </cfRule>
  </conditionalFormatting>
  <conditionalFormatting sqref="C100:H100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4">
      <colorScale>
        <cfvo type="min"/>
        <cfvo type="max"/>
        <color theme="4"/>
        <color theme="5"/>
      </colorScale>
    </cfRule>
    <cfRule type="colorScale" priority="75">
      <colorScale>
        <cfvo type="min"/>
        <cfvo type="max"/>
        <color theme="8" tint="0.39997558519241921"/>
        <color theme="5" tint="0.39997558519241921"/>
      </colorScale>
    </cfRule>
  </conditionalFormatting>
  <conditionalFormatting sqref="C120:H120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">
      <colorScale>
        <cfvo type="min"/>
        <cfvo type="max"/>
        <color theme="4"/>
        <color theme="5"/>
      </colorScale>
    </cfRule>
    <cfRule type="colorScale" priority="51">
      <colorScale>
        <cfvo type="min"/>
        <cfvo type="max"/>
        <color theme="8" tint="0.39997558519241921"/>
        <color theme="5" tint="0.39997558519241921"/>
      </colorScale>
    </cfRule>
  </conditionalFormatting>
  <conditionalFormatting sqref="C140:H140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">
      <colorScale>
        <cfvo type="min"/>
        <cfvo type="max"/>
        <color theme="4"/>
        <color theme="5"/>
      </colorScale>
    </cfRule>
    <cfRule type="colorScale" priority="27">
      <colorScale>
        <cfvo type="min"/>
        <cfvo type="max"/>
        <color theme="8" tint="0.39997558519241921"/>
        <color theme="5" tint="0.39997558519241921"/>
      </colorScale>
    </cfRule>
  </conditionalFormatting>
  <conditionalFormatting sqref="C160:H160">
    <cfRule type="colorScale" priority="3">
      <colorScale>
        <cfvo type="min"/>
        <cfvo type="max"/>
        <color theme="8" tint="0.39997558519241921"/>
        <color theme="5" tint="0.39997558519241921"/>
      </colorScale>
    </cfRule>
    <cfRule type="colorScale" priority="2">
      <colorScale>
        <cfvo type="min"/>
        <cfvo type="max"/>
        <color theme="4"/>
        <color theme="5"/>
      </colorScale>
    </cfRule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E3765-03DE-47FD-85ED-4341015D2E52}">
  <dimension ref="A1:O136"/>
  <sheetViews>
    <sheetView topLeftCell="A124" workbookViewId="0">
      <selection activeCell="B5" sqref="B5:O15"/>
    </sheetView>
  </sheetViews>
  <sheetFormatPr baseColWidth="10" defaultColWidth="8.83203125" defaultRowHeight="15" x14ac:dyDescent="0.2"/>
  <cols>
    <col min="2" max="2" width="17.1640625" customWidth="1"/>
    <col min="4" max="4" width="10.1640625" bestFit="1" customWidth="1"/>
    <col min="5" max="5" width="10.1640625" customWidth="1"/>
    <col min="6" max="6" width="11.6640625" customWidth="1"/>
    <col min="7" max="7" width="10.5" customWidth="1"/>
    <col min="8" max="8" width="12.5" customWidth="1"/>
    <col min="9" max="9" width="13.83203125" customWidth="1"/>
    <col min="10" max="10" width="12.1640625" customWidth="1"/>
    <col min="11" max="11" width="11.83203125" customWidth="1"/>
    <col min="13" max="13" width="10.33203125" customWidth="1"/>
    <col min="15" max="15" width="12.5" customWidth="1"/>
  </cols>
  <sheetData>
    <row r="1" spans="1:15" s="31" customFormat="1" ht="15" customHeight="1" x14ac:dyDescent="0.2"/>
    <row r="2" spans="1:15" x14ac:dyDescent="0.2">
      <c r="A2" s="31"/>
      <c r="B2" s="30">
        <v>45748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5" ht="16" thickBo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1:15" ht="17" thickBot="1" x14ac:dyDescent="0.25">
      <c r="B4" s="337" t="s">
        <v>103</v>
      </c>
      <c r="C4" s="338"/>
      <c r="D4" s="339" t="s">
        <v>104</v>
      </c>
      <c r="E4" s="340"/>
      <c r="F4" s="340"/>
      <c r="G4" s="340"/>
      <c r="H4" s="340"/>
      <c r="I4" s="340"/>
      <c r="J4" s="340"/>
      <c r="K4" s="340"/>
      <c r="L4" s="341" t="s">
        <v>105</v>
      </c>
      <c r="M4" s="342"/>
      <c r="N4" s="342"/>
      <c r="O4" s="343"/>
    </row>
    <row r="5" spans="1:15" ht="13.5" customHeight="1" x14ac:dyDescent="0.2">
      <c r="A5" s="336" t="s">
        <v>106</v>
      </c>
      <c r="B5" s="32" t="s">
        <v>107</v>
      </c>
      <c r="C5" s="33" t="s">
        <v>108</v>
      </c>
      <c r="D5" s="33" t="s">
        <v>109</v>
      </c>
      <c r="E5" s="33" t="s">
        <v>110</v>
      </c>
      <c r="F5" s="33" t="s">
        <v>111</v>
      </c>
      <c r="G5" s="33" t="s">
        <v>112</v>
      </c>
      <c r="H5" s="33" t="s">
        <v>113</v>
      </c>
      <c r="I5" s="33" t="s">
        <v>114</v>
      </c>
      <c r="J5" s="33" t="s">
        <v>115</v>
      </c>
      <c r="K5" s="33" t="s">
        <v>116</v>
      </c>
      <c r="L5" s="33" t="s">
        <v>117</v>
      </c>
      <c r="M5" s="33" t="s">
        <v>118</v>
      </c>
      <c r="N5" s="33" t="s">
        <v>119</v>
      </c>
      <c r="O5" s="34" t="s">
        <v>120</v>
      </c>
    </row>
    <row r="6" spans="1:15" x14ac:dyDescent="0.2">
      <c r="A6" s="336"/>
      <c r="B6" s="35" t="s">
        <v>121</v>
      </c>
      <c r="C6" s="36">
        <v>714.64963353999985</v>
      </c>
      <c r="D6" s="37">
        <v>709.93481963999989</v>
      </c>
      <c r="E6" s="38">
        <v>4.7148139000000002</v>
      </c>
      <c r="F6" s="38">
        <v>0</v>
      </c>
      <c r="G6" s="38">
        <v>0</v>
      </c>
      <c r="H6" s="38">
        <v>0</v>
      </c>
      <c r="I6" s="38">
        <v>0</v>
      </c>
      <c r="J6" s="38">
        <v>0</v>
      </c>
      <c r="K6" s="38">
        <v>0</v>
      </c>
      <c r="L6" s="39"/>
      <c r="M6" s="40"/>
      <c r="N6" s="41">
        <v>0.99340262181812755</v>
      </c>
      <c r="O6" s="42">
        <v>6.5973781818725388E-3</v>
      </c>
    </row>
    <row r="7" spans="1:15" x14ac:dyDescent="0.2">
      <c r="A7" s="336"/>
      <c r="B7" s="35" t="s">
        <v>109</v>
      </c>
      <c r="C7" s="36">
        <v>12978.861171009976</v>
      </c>
      <c r="D7" s="37">
        <v>12341.458002139976</v>
      </c>
      <c r="E7" s="38">
        <v>587.38294841999993</v>
      </c>
      <c r="F7" s="38">
        <v>50.020220449999997</v>
      </c>
      <c r="G7" s="38">
        <v>0</v>
      </c>
      <c r="H7" s="38">
        <v>0</v>
      </c>
      <c r="I7" s="38">
        <v>0</v>
      </c>
      <c r="J7" s="38">
        <v>0</v>
      </c>
      <c r="K7" s="38">
        <v>0</v>
      </c>
      <c r="L7" s="39"/>
      <c r="M7" s="40"/>
      <c r="N7" s="41">
        <v>0.95088912960300975</v>
      </c>
      <c r="O7" s="42">
        <v>4.911087039699024E-2</v>
      </c>
    </row>
    <row r="8" spans="1:15" x14ac:dyDescent="0.2">
      <c r="A8" s="336"/>
      <c r="B8" s="35" t="s">
        <v>110</v>
      </c>
      <c r="C8" s="36">
        <v>1162.4715898300001</v>
      </c>
      <c r="D8" s="43">
        <v>530.35565072999998</v>
      </c>
      <c r="E8" s="37">
        <v>465.05350993999997</v>
      </c>
      <c r="F8" s="38">
        <v>147.65018402000004</v>
      </c>
      <c r="G8" s="38">
        <v>19.41224514</v>
      </c>
      <c r="H8" s="38">
        <v>0</v>
      </c>
      <c r="I8" s="38">
        <v>0</v>
      </c>
      <c r="J8" s="38">
        <v>0</v>
      </c>
      <c r="K8" s="38">
        <v>0</v>
      </c>
      <c r="L8" s="44">
        <v>0.45623106437169725</v>
      </c>
      <c r="M8" s="45">
        <v>0.45623106437169725</v>
      </c>
      <c r="N8" s="46">
        <v>0.40005580696213783</v>
      </c>
      <c r="O8" s="47">
        <v>0.14371312866616487</v>
      </c>
    </row>
    <row r="9" spans="1:15" x14ac:dyDescent="0.2">
      <c r="A9" s="336"/>
      <c r="B9" s="35" t="s">
        <v>111</v>
      </c>
      <c r="C9" s="36">
        <v>211.62561805999997</v>
      </c>
      <c r="D9" s="43">
        <v>24.659890409999999</v>
      </c>
      <c r="E9" s="43">
        <v>54.123493859999996</v>
      </c>
      <c r="F9" s="37">
        <v>66.164237169999993</v>
      </c>
      <c r="G9" s="38">
        <v>58.289248979999996</v>
      </c>
      <c r="H9" s="38">
        <v>8.3887476399999983</v>
      </c>
      <c r="I9" s="38">
        <v>0</v>
      </c>
      <c r="J9" s="38">
        <v>0</v>
      </c>
      <c r="K9" s="38">
        <v>0</v>
      </c>
      <c r="L9" s="44">
        <v>0.1165260171999046</v>
      </c>
      <c r="M9" s="45">
        <v>0.3722771609232271</v>
      </c>
      <c r="N9" s="46">
        <v>0.3126475791378015</v>
      </c>
      <c r="O9" s="47">
        <v>0.31507525993897151</v>
      </c>
    </row>
    <row r="10" spans="1:15" x14ac:dyDescent="0.2">
      <c r="A10" s="336"/>
      <c r="B10" s="35" t="s">
        <v>112</v>
      </c>
      <c r="C10" s="36">
        <v>116.98340155</v>
      </c>
      <c r="D10" s="43">
        <v>11.93842463</v>
      </c>
      <c r="E10" s="43">
        <v>3.0947246499999999</v>
      </c>
      <c r="F10" s="43">
        <v>20.100014119999997</v>
      </c>
      <c r="G10" s="37">
        <v>45.439518619999994</v>
      </c>
      <c r="H10" s="38">
        <v>30.8972312</v>
      </c>
      <c r="I10" s="38">
        <v>5.5134883300000004</v>
      </c>
      <c r="J10" s="38">
        <v>0</v>
      </c>
      <c r="K10" s="38">
        <v>0</v>
      </c>
      <c r="L10" s="44">
        <v>0.10205229521298699</v>
      </c>
      <c r="M10" s="45">
        <v>0.30032605424782166</v>
      </c>
      <c r="N10" s="46">
        <v>0.38842705903519692</v>
      </c>
      <c r="O10" s="47">
        <v>0.31124688671698147</v>
      </c>
    </row>
    <row r="11" spans="1:15" x14ac:dyDescent="0.2">
      <c r="A11" s="336"/>
      <c r="B11" s="35" t="s">
        <v>113</v>
      </c>
      <c r="C11" s="36">
        <v>50.406337280000002</v>
      </c>
      <c r="D11" s="43">
        <v>1.5282689899999999</v>
      </c>
      <c r="E11" s="43">
        <v>0.18819976999999999</v>
      </c>
      <c r="F11" s="43">
        <v>1.2269242499999999</v>
      </c>
      <c r="G11" s="43">
        <v>5.5862129200000004</v>
      </c>
      <c r="H11" s="37">
        <v>10.102742839999999</v>
      </c>
      <c r="I11" s="38">
        <v>24.922427509999999</v>
      </c>
      <c r="J11" s="38">
        <v>6.8515610000000002</v>
      </c>
      <c r="K11" s="38">
        <v>0</v>
      </c>
      <c r="L11" s="44">
        <v>3.0318985121070868E-2</v>
      </c>
      <c r="M11" s="45">
        <v>0.16921693561306109</v>
      </c>
      <c r="N11" s="46">
        <v>0.20042604531808583</v>
      </c>
      <c r="O11" s="47">
        <v>0.630357019068853</v>
      </c>
    </row>
    <row r="12" spans="1:15" x14ac:dyDescent="0.2">
      <c r="A12" s="336"/>
      <c r="B12" s="35" t="s">
        <v>114</v>
      </c>
      <c r="C12" s="36">
        <v>30.339675309999997</v>
      </c>
      <c r="D12" s="43">
        <v>0.85271758999999991</v>
      </c>
      <c r="E12" s="43">
        <v>0.27604764000000004</v>
      </c>
      <c r="F12" s="43">
        <v>1.1236339499999999</v>
      </c>
      <c r="G12" s="43">
        <v>5.5378030000000002E-2</v>
      </c>
      <c r="H12" s="43">
        <v>3.2863310000000001</v>
      </c>
      <c r="I12" s="37">
        <v>11.135483829999998</v>
      </c>
      <c r="J12" s="38">
        <v>12.288534759999999</v>
      </c>
      <c r="K12" s="38">
        <v>1.32154851</v>
      </c>
      <c r="L12" s="44">
        <v>2.8105692670974073E-2</v>
      </c>
      <c r="M12" s="45">
        <v>0.1843825997754226</v>
      </c>
      <c r="N12" s="46">
        <v>0.36702712590763054</v>
      </c>
      <c r="O12" s="47">
        <v>0.44859027431694687</v>
      </c>
    </row>
    <row r="13" spans="1:15" x14ac:dyDescent="0.2">
      <c r="A13" s="336"/>
      <c r="B13" s="35" t="s">
        <v>115</v>
      </c>
      <c r="C13" s="36">
        <v>27.56685332</v>
      </c>
      <c r="D13" s="43">
        <v>6.408591000000001E-2</v>
      </c>
      <c r="E13" s="43">
        <v>4.12019E-2</v>
      </c>
      <c r="F13" s="43">
        <v>5.6387499999999997E-3</v>
      </c>
      <c r="G13" s="43">
        <v>1.449493E-2</v>
      </c>
      <c r="H13" s="43">
        <v>0.28695221999999998</v>
      </c>
      <c r="I13" s="43">
        <v>1.71929048</v>
      </c>
      <c r="J13" s="37">
        <v>6.9981639500000012</v>
      </c>
      <c r="K13" s="38">
        <v>18.437025179999999</v>
      </c>
      <c r="L13" s="48">
        <v>2.3247452023661005E-3</v>
      </c>
      <c r="M13" s="45">
        <v>7.7327077024545901E-2</v>
      </c>
      <c r="N13" s="46">
        <v>0.25386154410749412</v>
      </c>
      <c r="O13" s="47">
        <v>0.66881137886795994</v>
      </c>
    </row>
    <row r="14" spans="1:15" x14ac:dyDescent="0.2">
      <c r="A14" s="336"/>
      <c r="B14" s="35" t="s">
        <v>116</v>
      </c>
      <c r="C14" s="36">
        <v>0</v>
      </c>
      <c r="D14" s="43"/>
      <c r="E14" s="43"/>
      <c r="F14" s="43"/>
      <c r="G14" s="43"/>
      <c r="H14" s="43"/>
      <c r="I14" s="43"/>
      <c r="J14" s="43"/>
      <c r="K14" s="37"/>
      <c r="L14" s="48">
        <v>0</v>
      </c>
      <c r="M14" s="45">
        <v>0</v>
      </c>
      <c r="N14" s="46" t="e">
        <v>#DIV/0!</v>
      </c>
      <c r="O14" s="47"/>
    </row>
    <row r="15" spans="1:15" ht="16" thickBot="1" x14ac:dyDescent="0.25">
      <c r="A15" s="336"/>
      <c r="B15" s="49" t="s">
        <v>122</v>
      </c>
      <c r="C15" s="50">
        <v>15292.904279899976</v>
      </c>
      <c r="D15" s="50">
        <v>13620.791860039975</v>
      </c>
      <c r="E15" s="50">
        <v>1114.8749400799998</v>
      </c>
      <c r="F15" s="50">
        <v>286.29085271000008</v>
      </c>
      <c r="G15" s="50">
        <v>128.79709862000001</v>
      </c>
      <c r="H15" s="50">
        <v>52.962004899999997</v>
      </c>
      <c r="I15" s="50">
        <v>43.290690149999996</v>
      </c>
      <c r="J15" s="50">
        <v>26.138259710000003</v>
      </c>
      <c r="K15" s="50">
        <v>19.758573689999999</v>
      </c>
      <c r="L15" s="51"/>
      <c r="M15" s="51"/>
      <c r="N15" s="51"/>
      <c r="O15" s="52"/>
    </row>
    <row r="16" spans="1:15" s="31" customFormat="1" x14ac:dyDescent="0.2">
      <c r="A16" s="53"/>
      <c r="B16" s="54"/>
      <c r="C16" s="55"/>
      <c r="D16" s="55"/>
      <c r="E16" s="55"/>
      <c r="F16" s="55"/>
      <c r="G16" s="55"/>
      <c r="H16" s="55"/>
      <c r="I16" s="55"/>
      <c r="J16" s="55"/>
      <c r="K16" s="55"/>
      <c r="L16" s="54"/>
      <c r="M16" s="54"/>
      <c r="N16" s="54"/>
      <c r="O16" s="54"/>
    </row>
    <row r="17" spans="1:15" s="31" customFormat="1" x14ac:dyDescent="0.2">
      <c r="A17" s="53"/>
      <c r="B17" s="30">
        <v>45748</v>
      </c>
      <c r="C17" s="55"/>
      <c r="D17" s="55"/>
      <c r="E17" s="55"/>
      <c r="F17" s="55"/>
      <c r="G17" s="55"/>
      <c r="H17" s="55"/>
      <c r="I17" s="55"/>
      <c r="J17" s="55"/>
      <c r="K17" s="55"/>
      <c r="L17" s="54"/>
      <c r="M17" s="54"/>
      <c r="N17" s="54"/>
      <c r="O17" s="54"/>
    </row>
    <row r="18" spans="1:15" s="31" customFormat="1" ht="16" thickBot="1" x14ac:dyDescent="0.25"/>
    <row r="19" spans="1:15" ht="17" thickBot="1" x14ac:dyDescent="0.25">
      <c r="B19" s="337" t="s">
        <v>103</v>
      </c>
      <c r="C19" s="338"/>
      <c r="D19" s="339" t="s">
        <v>104</v>
      </c>
      <c r="E19" s="340"/>
      <c r="F19" s="340"/>
      <c r="G19" s="340"/>
      <c r="H19" s="340"/>
      <c r="I19" s="340"/>
      <c r="J19" s="340"/>
      <c r="K19" s="340"/>
      <c r="L19" s="341" t="s">
        <v>105</v>
      </c>
      <c r="M19" s="342"/>
      <c r="N19" s="342"/>
      <c r="O19" s="343"/>
    </row>
    <row r="20" spans="1:15" ht="12.75" customHeight="1" x14ac:dyDescent="0.2">
      <c r="A20" s="336" t="s">
        <v>123</v>
      </c>
      <c r="B20" s="32" t="s">
        <v>107</v>
      </c>
      <c r="C20" s="33" t="s">
        <v>108</v>
      </c>
      <c r="D20" s="33" t="s">
        <v>109</v>
      </c>
      <c r="E20" s="33" t="s">
        <v>110</v>
      </c>
      <c r="F20" s="33" t="s">
        <v>111</v>
      </c>
      <c r="G20" s="33" t="s">
        <v>112</v>
      </c>
      <c r="H20" s="33" t="s">
        <v>113</v>
      </c>
      <c r="I20" s="33" t="s">
        <v>114</v>
      </c>
      <c r="J20" s="33" t="s">
        <v>115</v>
      </c>
      <c r="K20" s="33" t="s">
        <v>116</v>
      </c>
      <c r="L20" s="33" t="s">
        <v>117</v>
      </c>
      <c r="M20" s="33" t="s">
        <v>118</v>
      </c>
      <c r="N20" s="33" t="s">
        <v>119</v>
      </c>
      <c r="O20" s="34" t="s">
        <v>120</v>
      </c>
    </row>
    <row r="21" spans="1:15" x14ac:dyDescent="0.2">
      <c r="A21" s="336"/>
      <c r="B21" s="35" t="s">
        <v>121</v>
      </c>
      <c r="C21" s="36">
        <v>714.64963353999985</v>
      </c>
      <c r="D21" s="37">
        <v>709.93481963999989</v>
      </c>
      <c r="E21" s="38">
        <v>4.7148139000000002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9"/>
      <c r="M21" s="40"/>
      <c r="N21" s="41">
        <v>0.99340262181812755</v>
      </c>
      <c r="O21" s="42">
        <v>6.5973781818725388E-3</v>
      </c>
    </row>
    <row r="22" spans="1:15" x14ac:dyDescent="0.2">
      <c r="A22" s="336"/>
      <c r="B22" s="35" t="s">
        <v>109</v>
      </c>
      <c r="C22" s="36">
        <v>12978.861171009976</v>
      </c>
      <c r="D22" s="37">
        <v>12341.458002139976</v>
      </c>
      <c r="E22" s="38">
        <v>587.38294841999993</v>
      </c>
      <c r="F22" s="38">
        <v>50.020220449999997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9"/>
      <c r="M22" s="40"/>
      <c r="N22" s="41">
        <v>0.95088912960300975</v>
      </c>
      <c r="O22" s="42">
        <v>4.911087039699024E-2</v>
      </c>
    </row>
    <row r="23" spans="1:15" x14ac:dyDescent="0.2">
      <c r="A23" s="336"/>
      <c r="B23" s="35" t="s">
        <v>110</v>
      </c>
      <c r="C23" s="36">
        <v>1162.4715898300001</v>
      </c>
      <c r="D23" s="43">
        <v>530.35565072999998</v>
      </c>
      <c r="E23" s="37">
        <v>465.05350993999997</v>
      </c>
      <c r="F23" s="38">
        <v>147.65018402000004</v>
      </c>
      <c r="G23" s="38">
        <v>19.41224514</v>
      </c>
      <c r="H23" s="38">
        <v>0</v>
      </c>
      <c r="I23" s="38">
        <v>0</v>
      </c>
      <c r="J23" s="38">
        <v>0</v>
      </c>
      <c r="K23" s="38">
        <v>0</v>
      </c>
      <c r="L23" s="44">
        <v>0.45623106437169725</v>
      </c>
      <c r="M23" s="45">
        <v>0.45623106437169725</v>
      </c>
      <c r="N23" s="46">
        <v>0.40005580696213783</v>
      </c>
      <c r="O23" s="47">
        <v>0.14371312866616487</v>
      </c>
    </row>
    <row r="24" spans="1:15" x14ac:dyDescent="0.2">
      <c r="A24" s="336"/>
      <c r="B24" s="35" t="s">
        <v>111</v>
      </c>
      <c r="C24" s="36">
        <v>211.62561805999997</v>
      </c>
      <c r="D24" s="43">
        <v>24.659890409999999</v>
      </c>
      <c r="E24" s="43">
        <v>54.123493859999996</v>
      </c>
      <c r="F24" s="37">
        <v>66.164237169999993</v>
      </c>
      <c r="G24" s="38">
        <v>58.289248979999996</v>
      </c>
      <c r="H24" s="38">
        <v>8.3887476399999983</v>
      </c>
      <c r="I24" s="38">
        <v>0</v>
      </c>
      <c r="J24" s="38">
        <v>0</v>
      </c>
      <c r="K24" s="38">
        <v>0</v>
      </c>
      <c r="L24" s="44">
        <v>0.1165260171999046</v>
      </c>
      <c r="M24" s="45">
        <v>0.3722771609232271</v>
      </c>
      <c r="N24" s="46">
        <v>0.3126475791378015</v>
      </c>
      <c r="O24" s="47">
        <v>0.31507525993897151</v>
      </c>
    </row>
    <row r="25" spans="1:15" x14ac:dyDescent="0.2">
      <c r="A25" s="336"/>
      <c r="B25" s="35" t="s">
        <v>112</v>
      </c>
      <c r="C25" s="36">
        <v>116.98340155</v>
      </c>
      <c r="D25" s="43">
        <v>11.93842463</v>
      </c>
      <c r="E25" s="43">
        <v>3.0947246499999999</v>
      </c>
      <c r="F25" s="43">
        <v>20.100014119999997</v>
      </c>
      <c r="G25" s="37">
        <v>45.439518619999994</v>
      </c>
      <c r="H25" s="38">
        <v>30.8972312</v>
      </c>
      <c r="I25" s="38">
        <v>5.5134883300000004</v>
      </c>
      <c r="J25" s="38">
        <v>0</v>
      </c>
      <c r="K25" s="38">
        <v>0</v>
      </c>
      <c r="L25" s="44">
        <v>0.10205229521298699</v>
      </c>
      <c r="M25" s="45">
        <v>0.30032605424782166</v>
      </c>
      <c r="N25" s="46">
        <v>0.38842705903519692</v>
      </c>
      <c r="O25" s="47">
        <v>0.31124688671698147</v>
      </c>
    </row>
    <row r="26" spans="1:15" x14ac:dyDescent="0.2">
      <c r="A26" s="336"/>
      <c r="B26" s="35" t="s">
        <v>113</v>
      </c>
      <c r="C26" s="36">
        <v>50.406337280000002</v>
      </c>
      <c r="D26" s="43">
        <v>1.5282689899999999</v>
      </c>
      <c r="E26" s="43">
        <v>0.18819976999999999</v>
      </c>
      <c r="F26" s="43">
        <v>1.2269242499999999</v>
      </c>
      <c r="G26" s="43">
        <v>5.5862129200000004</v>
      </c>
      <c r="H26" s="37">
        <v>10.102742839999999</v>
      </c>
      <c r="I26" s="38">
        <v>24.922427509999999</v>
      </c>
      <c r="J26" s="38">
        <v>6.8515610000000002</v>
      </c>
      <c r="K26" s="38">
        <v>0</v>
      </c>
      <c r="L26" s="44">
        <v>3.0318985121070868E-2</v>
      </c>
      <c r="M26" s="45">
        <v>0.16921693561306109</v>
      </c>
      <c r="N26" s="46">
        <v>0.20042604531808583</v>
      </c>
      <c r="O26" s="47">
        <v>0.630357019068853</v>
      </c>
    </row>
    <row r="27" spans="1:15" x14ac:dyDescent="0.2">
      <c r="A27" s="336"/>
      <c r="B27" s="35" t="s">
        <v>114</v>
      </c>
      <c r="C27" s="36">
        <v>30.339675309999997</v>
      </c>
      <c r="D27" s="43">
        <v>0.85271758999999991</v>
      </c>
      <c r="E27" s="43">
        <v>0.27604764000000004</v>
      </c>
      <c r="F27" s="43">
        <v>1.1236339499999999</v>
      </c>
      <c r="G27" s="43">
        <v>5.5378030000000002E-2</v>
      </c>
      <c r="H27" s="43">
        <v>3.2863310000000001</v>
      </c>
      <c r="I27" s="37">
        <v>11.135483829999998</v>
      </c>
      <c r="J27" s="38">
        <v>12.288534759999999</v>
      </c>
      <c r="K27" s="38">
        <v>1.32154851</v>
      </c>
      <c r="L27" s="44">
        <v>2.8105692670974073E-2</v>
      </c>
      <c r="M27" s="45">
        <v>0.1843825997754226</v>
      </c>
      <c r="N27" s="46">
        <v>0.36702712590763054</v>
      </c>
      <c r="O27" s="47">
        <v>0.44859027431694687</v>
      </c>
    </row>
    <row r="28" spans="1:15" x14ac:dyDescent="0.2">
      <c r="A28" s="336"/>
      <c r="B28" s="35" t="s">
        <v>115</v>
      </c>
      <c r="C28" s="36">
        <v>27.56685332</v>
      </c>
      <c r="D28" s="43">
        <v>6.408591000000001E-2</v>
      </c>
      <c r="E28" s="43">
        <v>4.12019E-2</v>
      </c>
      <c r="F28" s="43">
        <v>5.6387499999999997E-3</v>
      </c>
      <c r="G28" s="43">
        <v>1.449493E-2</v>
      </c>
      <c r="H28" s="43">
        <v>0.28695221999999998</v>
      </c>
      <c r="I28" s="43">
        <v>1.71929048</v>
      </c>
      <c r="J28" s="37">
        <v>6.9981639500000012</v>
      </c>
      <c r="K28" s="38">
        <v>18.437025179999999</v>
      </c>
      <c r="L28" s="48">
        <v>2.3247452023661005E-3</v>
      </c>
      <c r="M28" s="45">
        <v>7.7327077024545943E-2</v>
      </c>
      <c r="N28" s="46">
        <v>0.25386154410749412</v>
      </c>
      <c r="O28" s="47">
        <v>0.66881137886795994</v>
      </c>
    </row>
    <row r="29" spans="1:15" x14ac:dyDescent="0.2">
      <c r="A29" s="336"/>
      <c r="B29" s="35" t="s">
        <v>116</v>
      </c>
      <c r="C29" s="36">
        <v>0</v>
      </c>
      <c r="D29" s="43"/>
      <c r="E29" s="43"/>
      <c r="F29" s="43"/>
      <c r="G29" s="43"/>
      <c r="H29" s="43"/>
      <c r="I29" s="43"/>
      <c r="J29" s="43"/>
      <c r="K29" s="37"/>
      <c r="L29" s="48">
        <v>0</v>
      </c>
      <c r="M29" s="45">
        <v>0</v>
      </c>
      <c r="N29" s="46" t="e">
        <v>#DIV/0!</v>
      </c>
      <c r="O29" s="47"/>
    </row>
    <row r="30" spans="1:15" ht="16" thickBot="1" x14ac:dyDescent="0.25">
      <c r="A30" s="336"/>
      <c r="B30" s="49" t="s">
        <v>122</v>
      </c>
      <c r="C30" s="50">
        <v>15292.904279899976</v>
      </c>
      <c r="D30" s="50">
        <v>13620.791860039975</v>
      </c>
      <c r="E30" s="50">
        <v>1114.8749400799998</v>
      </c>
      <c r="F30" s="50">
        <v>286.29085271000008</v>
      </c>
      <c r="G30" s="50">
        <v>128.79709862000001</v>
      </c>
      <c r="H30" s="50">
        <v>52.962004899999997</v>
      </c>
      <c r="I30" s="50">
        <v>43.290690149999996</v>
      </c>
      <c r="J30" s="50">
        <v>26.138259710000003</v>
      </c>
      <c r="K30" s="50">
        <v>19.758573689999999</v>
      </c>
      <c r="L30" s="51"/>
      <c r="M30" s="51"/>
      <c r="N30" s="51"/>
      <c r="O30" s="52"/>
    </row>
    <row r="31" spans="1:15" s="31" customFormat="1" x14ac:dyDescent="0.2">
      <c r="A31" s="53"/>
      <c r="B31" s="54"/>
      <c r="C31" s="55"/>
      <c r="D31" s="55"/>
      <c r="E31" s="55"/>
      <c r="F31" s="55"/>
      <c r="G31" s="55"/>
      <c r="H31" s="55"/>
      <c r="I31" s="55"/>
      <c r="J31" s="55"/>
      <c r="K31" s="55"/>
      <c r="L31" s="54"/>
      <c r="M31" s="54"/>
      <c r="N31" s="54"/>
      <c r="O31" s="54"/>
    </row>
    <row r="32" spans="1:15" s="31" customFormat="1" x14ac:dyDescent="0.2">
      <c r="A32" s="53"/>
      <c r="B32" s="30">
        <v>45748</v>
      </c>
      <c r="C32" s="55"/>
      <c r="D32" s="55"/>
      <c r="E32" s="55"/>
      <c r="F32" s="55"/>
      <c r="G32" s="55"/>
      <c r="H32" s="55"/>
      <c r="I32" s="55"/>
      <c r="J32" s="55"/>
      <c r="K32" s="55"/>
      <c r="L32" s="54"/>
      <c r="M32" s="54"/>
      <c r="N32" s="54"/>
      <c r="O32" s="54"/>
    </row>
    <row r="33" spans="1:15" s="31" customFormat="1" ht="16" thickBot="1" x14ac:dyDescent="0.25"/>
    <row r="34" spans="1:15" ht="17" thickBot="1" x14ac:dyDescent="0.25">
      <c r="B34" s="337" t="s">
        <v>103</v>
      </c>
      <c r="C34" s="338"/>
      <c r="D34" s="339" t="s">
        <v>104</v>
      </c>
      <c r="E34" s="340"/>
      <c r="F34" s="340"/>
      <c r="G34" s="340"/>
      <c r="H34" s="340"/>
      <c r="I34" s="340"/>
      <c r="J34" s="340"/>
      <c r="K34" s="340"/>
      <c r="L34" s="341" t="s">
        <v>105</v>
      </c>
      <c r="M34" s="342"/>
      <c r="N34" s="342"/>
      <c r="O34" s="343"/>
    </row>
    <row r="35" spans="1:15" ht="14.25" customHeight="1" x14ac:dyDescent="0.2">
      <c r="A35" s="336" t="s">
        <v>124</v>
      </c>
      <c r="B35" s="32" t="s">
        <v>107</v>
      </c>
      <c r="C35" s="33" t="s">
        <v>108</v>
      </c>
      <c r="D35" s="33" t="s">
        <v>109</v>
      </c>
      <c r="E35" s="33" t="s">
        <v>110</v>
      </c>
      <c r="F35" s="33" t="s">
        <v>111</v>
      </c>
      <c r="G35" s="33" t="s">
        <v>112</v>
      </c>
      <c r="H35" s="33" t="s">
        <v>113</v>
      </c>
      <c r="I35" s="33" t="s">
        <v>114</v>
      </c>
      <c r="J35" s="33" t="s">
        <v>115</v>
      </c>
      <c r="K35" s="33" t="s">
        <v>116</v>
      </c>
      <c r="L35" s="33" t="s">
        <v>117</v>
      </c>
      <c r="M35" s="33" t="s">
        <v>118</v>
      </c>
      <c r="N35" s="33" t="s">
        <v>119</v>
      </c>
      <c r="O35" s="34" t="s">
        <v>120</v>
      </c>
    </row>
    <row r="36" spans="1:15" x14ac:dyDescent="0.2">
      <c r="A36" s="336"/>
      <c r="B36" s="35" t="s">
        <v>121</v>
      </c>
      <c r="C36" s="36">
        <v>714.64963353999985</v>
      </c>
      <c r="D36" s="37">
        <v>709.93481963999989</v>
      </c>
      <c r="E36" s="38">
        <v>4.7148139000000002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9"/>
      <c r="M36" s="40"/>
      <c r="N36" s="41">
        <v>0.99340262181812755</v>
      </c>
      <c r="O36" s="42">
        <v>6.5973781818725388E-3</v>
      </c>
    </row>
    <row r="37" spans="1:15" x14ac:dyDescent="0.2">
      <c r="A37" s="336"/>
      <c r="B37" s="35" t="s">
        <v>109</v>
      </c>
      <c r="C37" s="36">
        <v>12978.861171009976</v>
      </c>
      <c r="D37" s="37">
        <v>12341.458002139976</v>
      </c>
      <c r="E37" s="38">
        <v>587.38294841999993</v>
      </c>
      <c r="F37" s="38">
        <v>50.020220449999997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9"/>
      <c r="M37" s="40"/>
      <c r="N37" s="41">
        <v>0.95088912960300975</v>
      </c>
      <c r="O37" s="42">
        <v>4.911087039699024E-2</v>
      </c>
    </row>
    <row r="38" spans="1:15" x14ac:dyDescent="0.2">
      <c r="A38" s="336"/>
      <c r="B38" s="35" t="s">
        <v>110</v>
      </c>
      <c r="C38" s="36">
        <v>1162.4715898300001</v>
      </c>
      <c r="D38" s="43">
        <v>530.35565072999998</v>
      </c>
      <c r="E38" s="37">
        <v>465.05350993999997</v>
      </c>
      <c r="F38" s="38">
        <v>147.65018402000004</v>
      </c>
      <c r="G38" s="38">
        <v>19.41224514</v>
      </c>
      <c r="H38" s="38">
        <v>0</v>
      </c>
      <c r="I38" s="38">
        <v>0</v>
      </c>
      <c r="J38" s="38">
        <v>0</v>
      </c>
      <c r="K38" s="38">
        <v>0</v>
      </c>
      <c r="L38" s="44">
        <v>0.45623106437169725</v>
      </c>
      <c r="M38" s="45">
        <v>0.45623106437169725</v>
      </c>
      <c r="N38" s="46">
        <v>0.40005580696213783</v>
      </c>
      <c r="O38" s="47">
        <v>0.14371312866616487</v>
      </c>
    </row>
    <row r="39" spans="1:15" x14ac:dyDescent="0.2">
      <c r="A39" s="336"/>
      <c r="B39" s="35" t="s">
        <v>111</v>
      </c>
      <c r="C39" s="36">
        <v>211.62561805999997</v>
      </c>
      <c r="D39" s="43">
        <v>24.659890409999999</v>
      </c>
      <c r="E39" s="43">
        <v>54.123493859999996</v>
      </c>
      <c r="F39" s="37">
        <v>66.164237169999993</v>
      </c>
      <c r="G39" s="38">
        <v>58.289248979999996</v>
      </c>
      <c r="H39" s="38">
        <v>8.3887476399999983</v>
      </c>
      <c r="I39" s="38">
        <v>0</v>
      </c>
      <c r="J39" s="38">
        <v>0</v>
      </c>
      <c r="K39" s="38">
        <v>0</v>
      </c>
      <c r="L39" s="44">
        <v>0.1165260171999046</v>
      </c>
      <c r="M39" s="45">
        <v>0.3722771609232271</v>
      </c>
      <c r="N39" s="46">
        <v>0.3126475791378015</v>
      </c>
      <c r="O39" s="47">
        <v>0.31507525993897151</v>
      </c>
    </row>
    <row r="40" spans="1:15" x14ac:dyDescent="0.2">
      <c r="A40" s="336"/>
      <c r="B40" s="35" t="s">
        <v>112</v>
      </c>
      <c r="C40" s="36">
        <v>116.98340155</v>
      </c>
      <c r="D40" s="43">
        <v>11.93842463</v>
      </c>
      <c r="E40" s="43">
        <v>3.0947246499999999</v>
      </c>
      <c r="F40" s="43">
        <v>20.100014119999997</v>
      </c>
      <c r="G40" s="37">
        <v>45.439518619999994</v>
      </c>
      <c r="H40" s="38">
        <v>30.8972312</v>
      </c>
      <c r="I40" s="38">
        <v>5.5134883300000004</v>
      </c>
      <c r="J40" s="38">
        <v>0</v>
      </c>
      <c r="K40" s="38">
        <v>0</v>
      </c>
      <c r="L40" s="44">
        <v>0.10205229521298699</v>
      </c>
      <c r="M40" s="45">
        <v>0.30032605424782166</v>
      </c>
      <c r="N40" s="46">
        <v>0.38842705903519692</v>
      </c>
      <c r="O40" s="47">
        <v>0.31124688671698147</v>
      </c>
    </row>
    <row r="41" spans="1:15" x14ac:dyDescent="0.2">
      <c r="A41" s="336"/>
      <c r="B41" s="35" t="s">
        <v>113</v>
      </c>
      <c r="C41" s="36">
        <v>50.406337280000002</v>
      </c>
      <c r="D41" s="43">
        <v>1.5282689899999999</v>
      </c>
      <c r="E41" s="43">
        <v>0.18819976999999999</v>
      </c>
      <c r="F41" s="43">
        <v>1.2269242499999999</v>
      </c>
      <c r="G41" s="43">
        <v>5.5862129200000004</v>
      </c>
      <c r="H41" s="37">
        <v>10.102742839999999</v>
      </c>
      <c r="I41" s="38">
        <v>24.922427509999999</v>
      </c>
      <c r="J41" s="38">
        <v>6.8515610000000002</v>
      </c>
      <c r="K41" s="38">
        <v>0</v>
      </c>
      <c r="L41" s="44">
        <v>3.0318985121070868E-2</v>
      </c>
      <c r="M41" s="45">
        <v>0.16921693561306109</v>
      </c>
      <c r="N41" s="46">
        <v>0.20042604531808583</v>
      </c>
      <c r="O41" s="47">
        <v>0.630357019068853</v>
      </c>
    </row>
    <row r="42" spans="1:15" x14ac:dyDescent="0.2">
      <c r="A42" s="336"/>
      <c r="B42" s="35" t="s">
        <v>114</v>
      </c>
      <c r="C42" s="36">
        <v>30.339675309999997</v>
      </c>
      <c r="D42" s="43">
        <v>0.85271758999999991</v>
      </c>
      <c r="E42" s="43">
        <v>0.27604764000000004</v>
      </c>
      <c r="F42" s="43">
        <v>1.1236339499999999</v>
      </c>
      <c r="G42" s="43">
        <v>5.5378030000000002E-2</v>
      </c>
      <c r="H42" s="43">
        <v>3.2863310000000001</v>
      </c>
      <c r="I42" s="37">
        <v>11.135483829999998</v>
      </c>
      <c r="J42" s="38">
        <v>12.288534759999999</v>
      </c>
      <c r="K42" s="38">
        <v>1.32154851</v>
      </c>
      <c r="L42" s="44">
        <v>2.8105692670974073E-2</v>
      </c>
      <c r="M42" s="45">
        <v>0.1843825997754226</v>
      </c>
      <c r="N42" s="46">
        <v>0.36702712590763054</v>
      </c>
      <c r="O42" s="47">
        <v>0.44859027431694687</v>
      </c>
    </row>
    <row r="43" spans="1:15" x14ac:dyDescent="0.2">
      <c r="A43" s="336"/>
      <c r="B43" s="35" t="s">
        <v>115</v>
      </c>
      <c r="C43" s="36">
        <v>27.56685332</v>
      </c>
      <c r="D43" s="43">
        <v>6.408591000000001E-2</v>
      </c>
      <c r="E43" s="43">
        <v>4.12019E-2</v>
      </c>
      <c r="F43" s="43">
        <v>5.6387499999999997E-3</v>
      </c>
      <c r="G43" s="43">
        <v>1.449493E-2</v>
      </c>
      <c r="H43" s="43">
        <v>0.28695221999999998</v>
      </c>
      <c r="I43" s="43">
        <v>1.71929048</v>
      </c>
      <c r="J43" s="37">
        <v>6.9981639500000012</v>
      </c>
      <c r="K43" s="38">
        <v>18.437025179999999</v>
      </c>
      <c r="L43" s="48">
        <v>2.3247452023661005E-3</v>
      </c>
      <c r="M43" s="45">
        <v>7.7327077024545943E-2</v>
      </c>
      <c r="N43" s="46">
        <v>0.25386154410749412</v>
      </c>
      <c r="O43" s="47">
        <v>0.66881137886795994</v>
      </c>
    </row>
    <row r="44" spans="1:15" x14ac:dyDescent="0.2">
      <c r="A44" s="336"/>
      <c r="B44" s="35" t="s">
        <v>116</v>
      </c>
      <c r="C44" s="36">
        <v>0</v>
      </c>
      <c r="D44" s="43"/>
      <c r="E44" s="43"/>
      <c r="F44" s="43"/>
      <c r="G44" s="43"/>
      <c r="H44" s="43"/>
      <c r="I44" s="43"/>
      <c r="J44" s="43"/>
      <c r="K44" s="37"/>
      <c r="L44" s="48">
        <v>0</v>
      </c>
      <c r="M44" s="45">
        <v>0</v>
      </c>
      <c r="N44" s="46" t="e">
        <v>#DIV/0!</v>
      </c>
      <c r="O44" s="47"/>
    </row>
    <row r="45" spans="1:15" ht="16" thickBot="1" x14ac:dyDescent="0.25">
      <c r="A45" s="336"/>
      <c r="B45" s="49" t="s">
        <v>122</v>
      </c>
      <c r="C45" s="50">
        <v>15292.904279899976</v>
      </c>
      <c r="D45" s="50">
        <v>13620.791860039975</v>
      </c>
      <c r="E45" s="50">
        <v>1114.8749400799998</v>
      </c>
      <c r="F45" s="50">
        <v>286.29085271000008</v>
      </c>
      <c r="G45" s="50">
        <v>128.79709862000001</v>
      </c>
      <c r="H45" s="50">
        <v>52.962004899999997</v>
      </c>
      <c r="I45" s="50">
        <v>43.290690149999996</v>
      </c>
      <c r="J45" s="50">
        <v>26.138259710000003</v>
      </c>
      <c r="K45" s="50">
        <v>19.758573689999999</v>
      </c>
      <c r="L45" s="51"/>
      <c r="M45" s="51"/>
      <c r="N45" s="51"/>
      <c r="O45" s="52"/>
    </row>
    <row r="47" spans="1:15" s="31" customFormat="1" x14ac:dyDescent="0.2">
      <c r="A47" s="53"/>
      <c r="B47" s="30">
        <v>45748</v>
      </c>
      <c r="C47" s="55"/>
      <c r="D47" s="55"/>
      <c r="E47" s="55"/>
      <c r="F47" s="55"/>
      <c r="G47" s="55"/>
      <c r="H47" s="55"/>
      <c r="I47" s="55"/>
      <c r="J47" s="55"/>
      <c r="K47" s="55"/>
      <c r="L47" s="54"/>
      <c r="M47" s="54"/>
      <c r="N47" s="54"/>
      <c r="O47" s="54"/>
    </row>
    <row r="48" spans="1:15" s="31" customFormat="1" ht="16" thickBot="1" x14ac:dyDescent="0.25"/>
    <row r="49" spans="1:15" ht="17" thickBot="1" x14ac:dyDescent="0.25">
      <c r="B49" s="337" t="s">
        <v>103</v>
      </c>
      <c r="C49" s="338"/>
      <c r="D49" s="339" t="s">
        <v>104</v>
      </c>
      <c r="E49" s="340"/>
      <c r="F49" s="340"/>
      <c r="G49" s="340"/>
      <c r="H49" s="340"/>
      <c r="I49" s="340"/>
      <c r="J49" s="340"/>
      <c r="K49" s="340"/>
      <c r="L49" s="341" t="s">
        <v>105</v>
      </c>
      <c r="M49" s="342"/>
      <c r="N49" s="342"/>
      <c r="O49" s="343"/>
    </row>
    <row r="50" spans="1:15" ht="14.25" customHeight="1" x14ac:dyDescent="0.2">
      <c r="A50" s="336" t="s">
        <v>21</v>
      </c>
      <c r="B50" s="32" t="s">
        <v>107</v>
      </c>
      <c r="C50" s="33" t="s">
        <v>108</v>
      </c>
      <c r="D50" s="33" t="s">
        <v>109</v>
      </c>
      <c r="E50" s="33" t="s">
        <v>110</v>
      </c>
      <c r="F50" s="33" t="s">
        <v>111</v>
      </c>
      <c r="G50" s="33" t="s">
        <v>112</v>
      </c>
      <c r="H50" s="33" t="s">
        <v>113</v>
      </c>
      <c r="I50" s="33" t="s">
        <v>114</v>
      </c>
      <c r="J50" s="33" t="s">
        <v>115</v>
      </c>
      <c r="K50" s="33" t="s">
        <v>116</v>
      </c>
      <c r="L50" s="33" t="s">
        <v>117</v>
      </c>
      <c r="M50" s="33" t="s">
        <v>118</v>
      </c>
      <c r="N50" s="33" t="s">
        <v>119</v>
      </c>
      <c r="O50" s="34" t="s">
        <v>120</v>
      </c>
    </row>
    <row r="51" spans="1:15" x14ac:dyDescent="0.2">
      <c r="A51" s="336"/>
      <c r="B51" s="35" t="s">
        <v>121</v>
      </c>
      <c r="C51" s="36">
        <v>714.64963353999985</v>
      </c>
      <c r="D51" s="37">
        <v>709.93481963999989</v>
      </c>
      <c r="E51" s="38">
        <v>4.7148139000000002</v>
      </c>
      <c r="F51" s="38">
        <v>0</v>
      </c>
      <c r="G51" s="38">
        <v>0</v>
      </c>
      <c r="H51" s="38">
        <v>0</v>
      </c>
      <c r="I51" s="38">
        <v>0</v>
      </c>
      <c r="J51" s="38">
        <v>0</v>
      </c>
      <c r="K51" s="38">
        <v>0</v>
      </c>
      <c r="L51" s="39"/>
      <c r="M51" s="40"/>
      <c r="N51" s="41">
        <v>0.99340262181812755</v>
      </c>
      <c r="O51" s="42">
        <v>6.5973781818725388E-3</v>
      </c>
    </row>
    <row r="52" spans="1:15" x14ac:dyDescent="0.2">
      <c r="A52" s="336"/>
      <c r="B52" s="35" t="s">
        <v>109</v>
      </c>
      <c r="C52" s="36">
        <v>12978.861171009976</v>
      </c>
      <c r="D52" s="37">
        <v>12341.458002139976</v>
      </c>
      <c r="E52" s="38">
        <v>587.38294841999993</v>
      </c>
      <c r="F52" s="38">
        <v>50.020220449999997</v>
      </c>
      <c r="G52" s="38">
        <v>0</v>
      </c>
      <c r="H52" s="38">
        <v>0</v>
      </c>
      <c r="I52" s="38">
        <v>0</v>
      </c>
      <c r="J52" s="38">
        <v>0</v>
      </c>
      <c r="K52" s="38">
        <v>0</v>
      </c>
      <c r="L52" s="39"/>
      <c r="M52" s="40"/>
      <c r="N52" s="41">
        <v>0.95088912960300975</v>
      </c>
      <c r="O52" s="42">
        <v>4.911087039699024E-2</v>
      </c>
    </row>
    <row r="53" spans="1:15" x14ac:dyDescent="0.2">
      <c r="A53" s="336"/>
      <c r="B53" s="35" t="s">
        <v>110</v>
      </c>
      <c r="C53" s="36">
        <v>1162.4715898300001</v>
      </c>
      <c r="D53" s="43">
        <v>530.35565072999998</v>
      </c>
      <c r="E53" s="37">
        <v>465.05350993999997</v>
      </c>
      <c r="F53" s="38">
        <v>147.65018402000004</v>
      </c>
      <c r="G53" s="38">
        <v>19.41224514</v>
      </c>
      <c r="H53" s="38">
        <v>0</v>
      </c>
      <c r="I53" s="38">
        <v>0</v>
      </c>
      <c r="J53" s="38">
        <v>0</v>
      </c>
      <c r="K53" s="38">
        <v>0</v>
      </c>
      <c r="L53" s="44">
        <v>0.45623106437169725</v>
      </c>
      <c r="M53" s="45">
        <v>0.45623106437169725</v>
      </c>
      <c r="N53" s="46">
        <v>0.40005580696213783</v>
      </c>
      <c r="O53" s="47">
        <v>0.14371312866616487</v>
      </c>
    </row>
    <row r="54" spans="1:15" x14ac:dyDescent="0.2">
      <c r="A54" s="336"/>
      <c r="B54" s="35" t="s">
        <v>111</v>
      </c>
      <c r="C54" s="36">
        <v>211.62561805999997</v>
      </c>
      <c r="D54" s="43">
        <v>24.659890409999999</v>
      </c>
      <c r="E54" s="43">
        <v>54.123493859999996</v>
      </c>
      <c r="F54" s="37">
        <v>66.164237169999993</v>
      </c>
      <c r="G54" s="38">
        <v>58.289248979999996</v>
      </c>
      <c r="H54" s="38">
        <v>8.3887476399999983</v>
      </c>
      <c r="I54" s="38">
        <v>0</v>
      </c>
      <c r="J54" s="38">
        <v>0</v>
      </c>
      <c r="K54" s="38">
        <v>0</v>
      </c>
      <c r="L54" s="44">
        <v>0.1165260171999046</v>
      </c>
      <c r="M54" s="45">
        <v>0.3722771609232271</v>
      </c>
      <c r="N54" s="46">
        <v>0.3126475791378015</v>
      </c>
      <c r="O54" s="47">
        <v>0.31507525993897151</v>
      </c>
    </row>
    <row r="55" spans="1:15" x14ac:dyDescent="0.2">
      <c r="A55" s="336"/>
      <c r="B55" s="35" t="s">
        <v>112</v>
      </c>
      <c r="C55" s="36">
        <v>116.98340155</v>
      </c>
      <c r="D55" s="43">
        <v>11.93842463</v>
      </c>
      <c r="E55" s="43">
        <v>3.0947246499999999</v>
      </c>
      <c r="F55" s="43">
        <v>20.100014119999997</v>
      </c>
      <c r="G55" s="37">
        <v>45.439518619999994</v>
      </c>
      <c r="H55" s="38">
        <v>30.8972312</v>
      </c>
      <c r="I55" s="38">
        <v>5.5134883300000004</v>
      </c>
      <c r="J55" s="38">
        <v>0</v>
      </c>
      <c r="K55" s="38">
        <v>0</v>
      </c>
      <c r="L55" s="44">
        <v>0.10205229521298699</v>
      </c>
      <c r="M55" s="45">
        <v>0.30032605424782166</v>
      </c>
      <c r="N55" s="46">
        <v>0.38842705903519692</v>
      </c>
      <c r="O55" s="47">
        <v>0.31124688671698147</v>
      </c>
    </row>
    <row r="56" spans="1:15" x14ac:dyDescent="0.2">
      <c r="A56" s="336"/>
      <c r="B56" s="35" t="s">
        <v>113</v>
      </c>
      <c r="C56" s="36">
        <v>50.406337280000002</v>
      </c>
      <c r="D56" s="43">
        <v>1.5282689899999999</v>
      </c>
      <c r="E56" s="43">
        <v>0.18819976999999999</v>
      </c>
      <c r="F56" s="43">
        <v>1.2269242499999999</v>
      </c>
      <c r="G56" s="43">
        <v>5.5862129200000004</v>
      </c>
      <c r="H56" s="37">
        <v>10.102742839999999</v>
      </c>
      <c r="I56" s="38">
        <v>24.922427509999999</v>
      </c>
      <c r="J56" s="38">
        <v>6.8515610000000002</v>
      </c>
      <c r="K56" s="38">
        <v>0</v>
      </c>
      <c r="L56" s="44">
        <v>3.0318985121070868E-2</v>
      </c>
      <c r="M56" s="45">
        <v>0.16921693561306109</v>
      </c>
      <c r="N56" s="46">
        <v>0.20042604531808583</v>
      </c>
      <c r="O56" s="47">
        <v>0.630357019068853</v>
      </c>
    </row>
    <row r="57" spans="1:15" x14ac:dyDescent="0.2">
      <c r="A57" s="336"/>
      <c r="B57" s="35" t="s">
        <v>114</v>
      </c>
      <c r="C57" s="36">
        <v>30.339675309999997</v>
      </c>
      <c r="D57" s="43">
        <v>0.85271758999999991</v>
      </c>
      <c r="E57" s="43">
        <v>0.27604764000000004</v>
      </c>
      <c r="F57" s="43">
        <v>1.1236339499999999</v>
      </c>
      <c r="G57" s="43">
        <v>5.5378030000000002E-2</v>
      </c>
      <c r="H57" s="43">
        <v>3.2863310000000001</v>
      </c>
      <c r="I57" s="37">
        <v>11.135483829999998</v>
      </c>
      <c r="J57" s="38">
        <v>12.288534759999999</v>
      </c>
      <c r="K57" s="38">
        <v>1.32154851</v>
      </c>
      <c r="L57" s="44">
        <v>2.8105692670974073E-2</v>
      </c>
      <c r="M57" s="45">
        <v>0.1843825997754226</v>
      </c>
      <c r="N57" s="46">
        <v>0.36702712590763054</v>
      </c>
      <c r="O57" s="47">
        <v>0.44859027431694687</v>
      </c>
    </row>
    <row r="58" spans="1:15" x14ac:dyDescent="0.2">
      <c r="A58" s="336"/>
      <c r="B58" s="35" t="s">
        <v>115</v>
      </c>
      <c r="C58" s="36">
        <v>27.56685332</v>
      </c>
      <c r="D58" s="43">
        <v>6.408591000000001E-2</v>
      </c>
      <c r="E58" s="43">
        <v>4.12019E-2</v>
      </c>
      <c r="F58" s="43">
        <v>5.6387499999999997E-3</v>
      </c>
      <c r="G58" s="43">
        <v>1.449493E-2</v>
      </c>
      <c r="H58" s="43">
        <v>0.28695221999999998</v>
      </c>
      <c r="I58" s="43">
        <v>1.71929048</v>
      </c>
      <c r="J58" s="37">
        <v>6.9981639500000012</v>
      </c>
      <c r="K58" s="38">
        <v>18.437025179999999</v>
      </c>
      <c r="L58" s="48">
        <v>2.3247452023661005E-3</v>
      </c>
      <c r="M58" s="45">
        <v>7.7327077024545943E-2</v>
      </c>
      <c r="N58" s="46">
        <v>0.25386154410749412</v>
      </c>
      <c r="O58" s="47">
        <v>0.66881137886795994</v>
      </c>
    </row>
    <row r="59" spans="1:15" x14ac:dyDescent="0.2">
      <c r="A59" s="336"/>
      <c r="B59" s="35" t="s">
        <v>116</v>
      </c>
      <c r="C59" s="36">
        <v>0</v>
      </c>
      <c r="D59" s="43"/>
      <c r="E59" s="43"/>
      <c r="F59" s="43"/>
      <c r="G59" s="43"/>
      <c r="H59" s="43"/>
      <c r="I59" s="43"/>
      <c r="J59" s="43"/>
      <c r="K59" s="37"/>
      <c r="L59" s="48">
        <v>0</v>
      </c>
      <c r="M59" s="45">
        <v>0</v>
      </c>
      <c r="N59" s="46" t="e">
        <v>#DIV/0!</v>
      </c>
      <c r="O59" s="47"/>
    </row>
    <row r="60" spans="1:15" ht="16" thickBot="1" x14ac:dyDescent="0.25">
      <c r="A60" s="336"/>
      <c r="B60" s="49" t="s">
        <v>122</v>
      </c>
      <c r="C60" s="50">
        <v>15292.904279899976</v>
      </c>
      <c r="D60" s="50">
        <v>13620.791860039975</v>
      </c>
      <c r="E60" s="50">
        <v>1114.8749400799998</v>
      </c>
      <c r="F60" s="50">
        <v>286.29085271000008</v>
      </c>
      <c r="G60" s="50">
        <v>128.79709862000001</v>
      </c>
      <c r="H60" s="50">
        <v>52.962004899999997</v>
      </c>
      <c r="I60" s="50">
        <v>43.290690149999996</v>
      </c>
      <c r="J60" s="50">
        <v>26.138259710000003</v>
      </c>
      <c r="K60" s="50">
        <v>19.758573689999999</v>
      </c>
      <c r="L60" s="51"/>
      <c r="M60" s="51"/>
      <c r="N60" s="51"/>
      <c r="O60" s="52"/>
    </row>
    <row r="62" spans="1:15" s="31" customFormat="1" x14ac:dyDescent="0.2">
      <c r="A62" s="53"/>
      <c r="B62" s="30">
        <v>45748</v>
      </c>
      <c r="C62" s="55"/>
      <c r="D62" s="55"/>
      <c r="E62" s="55"/>
      <c r="F62" s="55"/>
      <c r="G62" s="55"/>
      <c r="H62" s="55"/>
      <c r="I62" s="55"/>
      <c r="J62" s="55"/>
      <c r="K62" s="55"/>
      <c r="L62" s="54"/>
      <c r="M62" s="54"/>
      <c r="N62" s="54"/>
      <c r="O62" s="54"/>
    </row>
    <row r="63" spans="1:15" s="31" customFormat="1" ht="16" thickBot="1" x14ac:dyDescent="0.25"/>
    <row r="64" spans="1:15" ht="17" thickBot="1" x14ac:dyDescent="0.25">
      <c r="B64" s="337" t="s">
        <v>103</v>
      </c>
      <c r="C64" s="338"/>
      <c r="D64" s="339" t="s">
        <v>104</v>
      </c>
      <c r="E64" s="340"/>
      <c r="F64" s="340"/>
      <c r="G64" s="340"/>
      <c r="H64" s="340"/>
      <c r="I64" s="340"/>
      <c r="J64" s="340"/>
      <c r="K64" s="340"/>
      <c r="L64" s="341" t="s">
        <v>105</v>
      </c>
      <c r="M64" s="342"/>
      <c r="N64" s="342"/>
      <c r="O64" s="343"/>
    </row>
    <row r="65" spans="1:15" ht="14.25" customHeight="1" x14ac:dyDescent="0.2">
      <c r="A65" s="336" t="s">
        <v>27</v>
      </c>
      <c r="B65" s="32" t="s">
        <v>107</v>
      </c>
      <c r="C65" s="33" t="s">
        <v>108</v>
      </c>
      <c r="D65" s="33" t="s">
        <v>109</v>
      </c>
      <c r="E65" s="33" t="s">
        <v>110</v>
      </c>
      <c r="F65" s="33" t="s">
        <v>111</v>
      </c>
      <c r="G65" s="33" t="s">
        <v>112</v>
      </c>
      <c r="H65" s="33" t="s">
        <v>113</v>
      </c>
      <c r="I65" s="33" t="s">
        <v>114</v>
      </c>
      <c r="J65" s="33" t="s">
        <v>115</v>
      </c>
      <c r="K65" s="33" t="s">
        <v>116</v>
      </c>
      <c r="L65" s="33" t="s">
        <v>117</v>
      </c>
      <c r="M65" s="33" t="s">
        <v>118</v>
      </c>
      <c r="N65" s="33" t="s">
        <v>119</v>
      </c>
      <c r="O65" s="34" t="s">
        <v>120</v>
      </c>
    </row>
    <row r="66" spans="1:15" x14ac:dyDescent="0.2">
      <c r="A66" s="336"/>
      <c r="B66" s="35" t="s">
        <v>121</v>
      </c>
      <c r="C66" s="36">
        <v>714.64963353999985</v>
      </c>
      <c r="D66" s="37">
        <v>709.93481963999989</v>
      </c>
      <c r="E66" s="38">
        <v>4.7148139000000002</v>
      </c>
      <c r="F66" s="38">
        <v>0</v>
      </c>
      <c r="G66" s="38">
        <v>0</v>
      </c>
      <c r="H66" s="38">
        <v>0</v>
      </c>
      <c r="I66" s="38">
        <v>0</v>
      </c>
      <c r="J66" s="38">
        <v>0</v>
      </c>
      <c r="K66" s="38">
        <v>0</v>
      </c>
      <c r="L66" s="39"/>
      <c r="M66" s="40"/>
      <c r="N66" s="41">
        <v>0.99340262181812755</v>
      </c>
      <c r="O66" s="42">
        <v>6.5973781818725388E-3</v>
      </c>
    </row>
    <row r="67" spans="1:15" x14ac:dyDescent="0.2">
      <c r="A67" s="336"/>
      <c r="B67" s="35" t="s">
        <v>109</v>
      </c>
      <c r="C67" s="36">
        <v>12978.861171009976</v>
      </c>
      <c r="D67" s="37">
        <v>12341.458002139976</v>
      </c>
      <c r="E67" s="38">
        <v>587.38294841999993</v>
      </c>
      <c r="F67" s="38">
        <v>50.020220449999997</v>
      </c>
      <c r="G67" s="38">
        <v>0</v>
      </c>
      <c r="H67" s="38">
        <v>0</v>
      </c>
      <c r="I67" s="38">
        <v>0</v>
      </c>
      <c r="J67" s="38">
        <v>0</v>
      </c>
      <c r="K67" s="38">
        <v>0</v>
      </c>
      <c r="L67" s="39"/>
      <c r="M67" s="40"/>
      <c r="N67" s="41">
        <v>0.95088912960300975</v>
      </c>
      <c r="O67" s="42">
        <v>4.911087039699024E-2</v>
      </c>
    </row>
    <row r="68" spans="1:15" x14ac:dyDescent="0.2">
      <c r="A68" s="336"/>
      <c r="B68" s="35" t="s">
        <v>110</v>
      </c>
      <c r="C68" s="36">
        <v>1162.4715898300001</v>
      </c>
      <c r="D68" s="43">
        <v>530.35565072999998</v>
      </c>
      <c r="E68" s="37">
        <v>465.05350993999997</v>
      </c>
      <c r="F68" s="38">
        <v>147.65018402000004</v>
      </c>
      <c r="G68" s="38">
        <v>19.41224514</v>
      </c>
      <c r="H68" s="38">
        <v>0</v>
      </c>
      <c r="I68" s="38">
        <v>0</v>
      </c>
      <c r="J68" s="38">
        <v>0</v>
      </c>
      <c r="K68" s="38">
        <v>0</v>
      </c>
      <c r="L68" s="44">
        <v>0.45623106437169725</v>
      </c>
      <c r="M68" s="45">
        <v>0.45623106437169725</v>
      </c>
      <c r="N68" s="46">
        <v>0.40005580696213783</v>
      </c>
      <c r="O68" s="47">
        <v>0.14371312866616487</v>
      </c>
    </row>
    <row r="69" spans="1:15" x14ac:dyDescent="0.2">
      <c r="A69" s="336"/>
      <c r="B69" s="35" t="s">
        <v>111</v>
      </c>
      <c r="C69" s="36">
        <v>211.62561805999997</v>
      </c>
      <c r="D69" s="43">
        <v>24.659890409999999</v>
      </c>
      <c r="E69" s="43">
        <v>54.123493859999996</v>
      </c>
      <c r="F69" s="37">
        <v>66.164237169999993</v>
      </c>
      <c r="G69" s="38">
        <v>58.289248979999996</v>
      </c>
      <c r="H69" s="38">
        <v>8.3887476399999983</v>
      </c>
      <c r="I69" s="38">
        <v>0</v>
      </c>
      <c r="J69" s="38">
        <v>0</v>
      </c>
      <c r="K69" s="38">
        <v>0</v>
      </c>
      <c r="L69" s="44">
        <v>0.1165260171999046</v>
      </c>
      <c r="M69" s="45">
        <v>0.3722771609232271</v>
      </c>
      <c r="N69" s="46">
        <v>0.3126475791378015</v>
      </c>
      <c r="O69" s="47">
        <v>0.31507525993897151</v>
      </c>
    </row>
    <row r="70" spans="1:15" x14ac:dyDescent="0.2">
      <c r="A70" s="336"/>
      <c r="B70" s="35" t="s">
        <v>112</v>
      </c>
      <c r="C70" s="36">
        <v>116.98340155</v>
      </c>
      <c r="D70" s="43">
        <v>11.93842463</v>
      </c>
      <c r="E70" s="43">
        <v>3.0947246499999999</v>
      </c>
      <c r="F70" s="43">
        <v>20.100014119999997</v>
      </c>
      <c r="G70" s="37">
        <v>45.439518619999994</v>
      </c>
      <c r="H70" s="38">
        <v>30.8972312</v>
      </c>
      <c r="I70" s="38">
        <v>5.5134883300000004</v>
      </c>
      <c r="J70" s="38">
        <v>0</v>
      </c>
      <c r="K70" s="38">
        <v>0</v>
      </c>
      <c r="L70" s="44">
        <v>0.10205229521298699</v>
      </c>
      <c r="M70" s="45">
        <v>0.30032605424782166</v>
      </c>
      <c r="N70" s="46">
        <v>0.38842705903519692</v>
      </c>
      <c r="O70" s="47">
        <v>0.31124688671698147</v>
      </c>
    </row>
    <row r="71" spans="1:15" x14ac:dyDescent="0.2">
      <c r="A71" s="336"/>
      <c r="B71" s="35" t="s">
        <v>113</v>
      </c>
      <c r="C71" s="36">
        <v>50.406337280000002</v>
      </c>
      <c r="D71" s="43">
        <v>1.5282689899999999</v>
      </c>
      <c r="E71" s="43">
        <v>0.18819976999999999</v>
      </c>
      <c r="F71" s="43">
        <v>1.2269242499999999</v>
      </c>
      <c r="G71" s="43">
        <v>5.5862129200000004</v>
      </c>
      <c r="H71" s="37">
        <v>10.102742839999999</v>
      </c>
      <c r="I71" s="38">
        <v>24.922427509999999</v>
      </c>
      <c r="J71" s="38">
        <v>6.8515610000000002</v>
      </c>
      <c r="K71" s="38">
        <v>0</v>
      </c>
      <c r="L71" s="44">
        <v>3.0318985121070868E-2</v>
      </c>
      <c r="M71" s="45">
        <v>0.16921693561306109</v>
      </c>
      <c r="N71" s="46">
        <v>0.20042604531808583</v>
      </c>
      <c r="O71" s="47">
        <v>0.630357019068853</v>
      </c>
    </row>
    <row r="72" spans="1:15" x14ac:dyDescent="0.2">
      <c r="A72" s="336"/>
      <c r="B72" s="35" t="s">
        <v>114</v>
      </c>
      <c r="C72" s="36">
        <v>30.339675309999997</v>
      </c>
      <c r="D72" s="43">
        <v>0.85271758999999991</v>
      </c>
      <c r="E72" s="43">
        <v>0.27604764000000004</v>
      </c>
      <c r="F72" s="43">
        <v>1.1236339499999999</v>
      </c>
      <c r="G72" s="43">
        <v>5.5378030000000002E-2</v>
      </c>
      <c r="H72" s="43">
        <v>3.2863310000000001</v>
      </c>
      <c r="I72" s="37">
        <v>11.135483829999998</v>
      </c>
      <c r="J72" s="38">
        <v>12.288534759999999</v>
      </c>
      <c r="K72" s="38">
        <v>1.32154851</v>
      </c>
      <c r="L72" s="44">
        <v>2.8105692670974073E-2</v>
      </c>
      <c r="M72" s="45">
        <v>0.1843825997754226</v>
      </c>
      <c r="N72" s="46">
        <v>0.36702712590763054</v>
      </c>
      <c r="O72" s="47">
        <v>0.44859027431694687</v>
      </c>
    </row>
    <row r="73" spans="1:15" x14ac:dyDescent="0.2">
      <c r="A73" s="336"/>
      <c r="B73" s="35" t="s">
        <v>115</v>
      </c>
      <c r="C73" s="36">
        <v>27.56685332</v>
      </c>
      <c r="D73" s="43">
        <v>6.408591000000001E-2</v>
      </c>
      <c r="E73" s="43">
        <v>4.12019E-2</v>
      </c>
      <c r="F73" s="43">
        <v>5.6387499999999997E-3</v>
      </c>
      <c r="G73" s="43">
        <v>1.449493E-2</v>
      </c>
      <c r="H73" s="43">
        <v>0.28695221999999998</v>
      </c>
      <c r="I73" s="43">
        <v>1.71929048</v>
      </c>
      <c r="J73" s="37">
        <v>6.9981639500000012</v>
      </c>
      <c r="K73" s="38">
        <v>18.437025179999999</v>
      </c>
      <c r="L73" s="48">
        <v>2.3247452023661005E-3</v>
      </c>
      <c r="M73" s="45">
        <v>7.7327077024545943E-2</v>
      </c>
      <c r="N73" s="46">
        <v>0.25386154410749412</v>
      </c>
      <c r="O73" s="47">
        <v>0.66881137886795994</v>
      </c>
    </row>
    <row r="74" spans="1:15" x14ac:dyDescent="0.2">
      <c r="A74" s="336"/>
      <c r="B74" s="35" t="s">
        <v>116</v>
      </c>
      <c r="C74" s="36">
        <v>0</v>
      </c>
      <c r="D74" s="43"/>
      <c r="E74" s="43"/>
      <c r="F74" s="43"/>
      <c r="G74" s="43"/>
      <c r="H74" s="43"/>
      <c r="I74" s="43"/>
      <c r="J74" s="43"/>
      <c r="K74" s="37"/>
      <c r="L74" s="48">
        <v>0</v>
      </c>
      <c r="M74" s="45">
        <v>0</v>
      </c>
      <c r="N74" s="46" t="e">
        <v>#DIV/0!</v>
      </c>
      <c r="O74" s="47"/>
    </row>
    <row r="75" spans="1:15" ht="16" thickBot="1" x14ac:dyDescent="0.25">
      <c r="A75" s="336"/>
      <c r="B75" s="49" t="s">
        <v>122</v>
      </c>
      <c r="C75" s="50">
        <v>15292.904279899976</v>
      </c>
      <c r="D75" s="50">
        <v>13620.791860039975</v>
      </c>
      <c r="E75" s="50">
        <v>1114.8749400799998</v>
      </c>
      <c r="F75" s="50">
        <v>286.29085271000008</v>
      </c>
      <c r="G75" s="50">
        <v>128.79709862000001</v>
      </c>
      <c r="H75" s="50">
        <v>52.962004899999997</v>
      </c>
      <c r="I75" s="50">
        <v>43.290690149999996</v>
      </c>
      <c r="J75" s="50">
        <v>26.138259710000003</v>
      </c>
      <c r="K75" s="50">
        <v>19.758573689999999</v>
      </c>
      <c r="L75" s="51"/>
      <c r="M75" s="51"/>
      <c r="N75" s="51"/>
      <c r="O75" s="52"/>
    </row>
    <row r="77" spans="1:15" s="31" customFormat="1" x14ac:dyDescent="0.2">
      <c r="A77" s="53"/>
      <c r="B77" s="30">
        <v>45748</v>
      </c>
      <c r="C77" s="55"/>
      <c r="D77" s="55"/>
      <c r="E77" s="55"/>
      <c r="F77" s="55"/>
      <c r="G77" s="55"/>
      <c r="H77" s="55"/>
      <c r="I77" s="55"/>
      <c r="J77" s="55"/>
      <c r="K77" s="55"/>
      <c r="L77" s="54"/>
      <c r="M77" s="54"/>
      <c r="N77" s="54"/>
      <c r="O77" s="54"/>
    </row>
    <row r="78" spans="1:15" s="31" customFormat="1" ht="16" thickBot="1" x14ac:dyDescent="0.25"/>
    <row r="79" spans="1:15" ht="17" thickBot="1" x14ac:dyDescent="0.25">
      <c r="B79" s="337" t="s">
        <v>103</v>
      </c>
      <c r="C79" s="338"/>
      <c r="D79" s="339" t="s">
        <v>104</v>
      </c>
      <c r="E79" s="340"/>
      <c r="F79" s="340"/>
      <c r="G79" s="340"/>
      <c r="H79" s="340"/>
      <c r="I79" s="340"/>
      <c r="J79" s="340"/>
      <c r="K79" s="340"/>
      <c r="L79" s="341" t="s">
        <v>105</v>
      </c>
      <c r="M79" s="342"/>
      <c r="N79" s="342"/>
      <c r="O79" s="343"/>
    </row>
    <row r="80" spans="1:15" ht="14.25" customHeight="1" x14ac:dyDescent="0.2">
      <c r="A80" s="336" t="s">
        <v>78</v>
      </c>
      <c r="B80" s="32" t="s">
        <v>107</v>
      </c>
      <c r="C80" s="33" t="s">
        <v>108</v>
      </c>
      <c r="D80" s="33" t="s">
        <v>109</v>
      </c>
      <c r="E80" s="33" t="s">
        <v>110</v>
      </c>
      <c r="F80" s="33" t="s">
        <v>111</v>
      </c>
      <c r="G80" s="33" t="s">
        <v>112</v>
      </c>
      <c r="H80" s="33" t="s">
        <v>113</v>
      </c>
      <c r="I80" s="33" t="s">
        <v>114</v>
      </c>
      <c r="J80" s="33" t="s">
        <v>115</v>
      </c>
      <c r="K80" s="33" t="s">
        <v>116</v>
      </c>
      <c r="L80" s="33" t="s">
        <v>117</v>
      </c>
      <c r="M80" s="33" t="s">
        <v>118</v>
      </c>
      <c r="N80" s="33" t="s">
        <v>119</v>
      </c>
      <c r="O80" s="34" t="s">
        <v>120</v>
      </c>
    </row>
    <row r="81" spans="1:15" x14ac:dyDescent="0.2">
      <c r="A81" s="336"/>
      <c r="B81" s="35" t="s">
        <v>121</v>
      </c>
      <c r="C81" s="36">
        <v>714.64963353999985</v>
      </c>
      <c r="D81" s="37">
        <v>709.93481963999989</v>
      </c>
      <c r="E81" s="38">
        <v>4.7148139000000002</v>
      </c>
      <c r="F81" s="38">
        <v>0</v>
      </c>
      <c r="G81" s="38">
        <v>0</v>
      </c>
      <c r="H81" s="38">
        <v>0</v>
      </c>
      <c r="I81" s="38">
        <v>0</v>
      </c>
      <c r="J81" s="38">
        <v>0</v>
      </c>
      <c r="K81" s="38">
        <v>0</v>
      </c>
      <c r="L81" s="39"/>
      <c r="M81" s="40"/>
      <c r="N81" s="41">
        <v>0.99340262181812755</v>
      </c>
      <c r="O81" s="42">
        <v>6.5973781818725388E-3</v>
      </c>
    </row>
    <row r="82" spans="1:15" x14ac:dyDescent="0.2">
      <c r="A82" s="336"/>
      <c r="B82" s="35" t="s">
        <v>109</v>
      </c>
      <c r="C82" s="36">
        <v>12978.861171009976</v>
      </c>
      <c r="D82" s="37">
        <v>12341.458002139976</v>
      </c>
      <c r="E82" s="38">
        <v>587.38294841999993</v>
      </c>
      <c r="F82" s="38">
        <v>50.020220449999997</v>
      </c>
      <c r="G82" s="38">
        <v>0</v>
      </c>
      <c r="H82" s="38">
        <v>0</v>
      </c>
      <c r="I82" s="38">
        <v>0</v>
      </c>
      <c r="J82" s="38">
        <v>0</v>
      </c>
      <c r="K82" s="38">
        <v>0</v>
      </c>
      <c r="L82" s="39"/>
      <c r="M82" s="40"/>
      <c r="N82" s="41">
        <v>0.95088912960300975</v>
      </c>
      <c r="O82" s="42">
        <v>4.911087039699024E-2</v>
      </c>
    </row>
    <row r="83" spans="1:15" x14ac:dyDescent="0.2">
      <c r="A83" s="336"/>
      <c r="B83" s="35" t="s">
        <v>110</v>
      </c>
      <c r="C83" s="36">
        <v>1162.4715898300001</v>
      </c>
      <c r="D83" s="43">
        <v>530.35565072999998</v>
      </c>
      <c r="E83" s="37">
        <v>465.05350993999997</v>
      </c>
      <c r="F83" s="38">
        <v>147.65018402000004</v>
      </c>
      <c r="G83" s="38">
        <v>19.41224514</v>
      </c>
      <c r="H83" s="38">
        <v>0</v>
      </c>
      <c r="I83" s="38">
        <v>0</v>
      </c>
      <c r="J83" s="38">
        <v>0</v>
      </c>
      <c r="K83" s="38">
        <v>0</v>
      </c>
      <c r="L83" s="44">
        <v>0.45623106437169725</v>
      </c>
      <c r="M83" s="45">
        <v>0.45623106437169725</v>
      </c>
      <c r="N83" s="46">
        <v>0.40005580696213783</v>
      </c>
      <c r="O83" s="47">
        <v>0.14371312866616487</v>
      </c>
    </row>
    <row r="84" spans="1:15" x14ac:dyDescent="0.2">
      <c r="A84" s="336"/>
      <c r="B84" s="35" t="s">
        <v>111</v>
      </c>
      <c r="C84" s="36">
        <v>211.62561805999997</v>
      </c>
      <c r="D84" s="43">
        <v>24.659890409999999</v>
      </c>
      <c r="E84" s="43">
        <v>54.123493859999996</v>
      </c>
      <c r="F84" s="37">
        <v>66.164237169999993</v>
      </c>
      <c r="G84" s="38">
        <v>58.289248979999996</v>
      </c>
      <c r="H84" s="38">
        <v>8.3887476399999983</v>
      </c>
      <c r="I84" s="38">
        <v>0</v>
      </c>
      <c r="J84" s="38">
        <v>0</v>
      </c>
      <c r="K84" s="38">
        <v>0</v>
      </c>
      <c r="L84" s="44">
        <v>0.1165260171999046</v>
      </c>
      <c r="M84" s="45">
        <v>0.3722771609232271</v>
      </c>
      <c r="N84" s="46">
        <v>0.3126475791378015</v>
      </c>
      <c r="O84" s="47">
        <v>0.31507525993897151</v>
      </c>
    </row>
    <row r="85" spans="1:15" x14ac:dyDescent="0.2">
      <c r="A85" s="336"/>
      <c r="B85" s="35" t="s">
        <v>112</v>
      </c>
      <c r="C85" s="36">
        <v>116.98340155</v>
      </c>
      <c r="D85" s="43">
        <v>11.93842463</v>
      </c>
      <c r="E85" s="43">
        <v>3.0947246499999999</v>
      </c>
      <c r="F85" s="43">
        <v>20.100014119999997</v>
      </c>
      <c r="G85" s="37">
        <v>45.439518619999994</v>
      </c>
      <c r="H85" s="38">
        <v>30.8972312</v>
      </c>
      <c r="I85" s="38">
        <v>5.5134883300000004</v>
      </c>
      <c r="J85" s="38">
        <v>0</v>
      </c>
      <c r="K85" s="38">
        <v>0</v>
      </c>
      <c r="L85" s="44">
        <v>0.10205229521298699</v>
      </c>
      <c r="M85" s="45">
        <v>0.30032605424782166</v>
      </c>
      <c r="N85" s="46">
        <v>0.38842705903519692</v>
      </c>
      <c r="O85" s="47">
        <v>0.31124688671698147</v>
      </c>
    </row>
    <row r="86" spans="1:15" x14ac:dyDescent="0.2">
      <c r="A86" s="336"/>
      <c r="B86" s="35" t="s">
        <v>113</v>
      </c>
      <c r="C86" s="36">
        <v>50.406337280000002</v>
      </c>
      <c r="D86" s="43">
        <v>1.5282689899999999</v>
      </c>
      <c r="E86" s="43">
        <v>0.18819976999999999</v>
      </c>
      <c r="F86" s="43">
        <v>1.2269242499999999</v>
      </c>
      <c r="G86" s="43">
        <v>5.5862129200000004</v>
      </c>
      <c r="H86" s="37">
        <v>10.102742839999999</v>
      </c>
      <c r="I86" s="38">
        <v>24.922427509999999</v>
      </c>
      <c r="J86" s="38">
        <v>6.8515610000000002</v>
      </c>
      <c r="K86" s="38">
        <v>0</v>
      </c>
      <c r="L86" s="44">
        <v>3.0318985121070868E-2</v>
      </c>
      <c r="M86" s="45">
        <v>0.16921693561306109</v>
      </c>
      <c r="N86" s="46">
        <v>0.20042604531808583</v>
      </c>
      <c r="O86" s="47">
        <v>0.630357019068853</v>
      </c>
    </row>
    <row r="87" spans="1:15" x14ac:dyDescent="0.2">
      <c r="A87" s="336"/>
      <c r="B87" s="35" t="s">
        <v>114</v>
      </c>
      <c r="C87" s="36">
        <v>30.339675309999997</v>
      </c>
      <c r="D87" s="43">
        <v>0.85271758999999991</v>
      </c>
      <c r="E87" s="43">
        <v>0.27604764000000004</v>
      </c>
      <c r="F87" s="43">
        <v>1.1236339499999999</v>
      </c>
      <c r="G87" s="43">
        <v>5.5378030000000002E-2</v>
      </c>
      <c r="H87" s="43">
        <v>3.2863310000000001</v>
      </c>
      <c r="I87" s="37">
        <v>11.135483829999998</v>
      </c>
      <c r="J87" s="38">
        <v>12.288534759999999</v>
      </c>
      <c r="K87" s="38">
        <v>1.32154851</v>
      </c>
      <c r="L87" s="44">
        <v>2.8105692670974073E-2</v>
      </c>
      <c r="M87" s="45">
        <v>0.1843825997754226</v>
      </c>
      <c r="N87" s="46">
        <v>0.36702712590763054</v>
      </c>
      <c r="O87" s="47">
        <v>0.44859027431694687</v>
      </c>
    </row>
    <row r="88" spans="1:15" x14ac:dyDescent="0.2">
      <c r="A88" s="336"/>
      <c r="B88" s="35" t="s">
        <v>115</v>
      </c>
      <c r="C88" s="36">
        <v>27.56685332</v>
      </c>
      <c r="D88" s="43">
        <v>6.408591000000001E-2</v>
      </c>
      <c r="E88" s="43">
        <v>4.12019E-2</v>
      </c>
      <c r="F88" s="43">
        <v>5.6387499999999997E-3</v>
      </c>
      <c r="G88" s="43">
        <v>1.449493E-2</v>
      </c>
      <c r="H88" s="43">
        <v>0.28695221999999998</v>
      </c>
      <c r="I88" s="43">
        <v>1.71929048</v>
      </c>
      <c r="J88" s="37">
        <v>6.9981639500000012</v>
      </c>
      <c r="K88" s="38">
        <v>18.437025179999999</v>
      </c>
      <c r="L88" s="48">
        <v>2.3247452023661005E-3</v>
      </c>
      <c r="M88" s="45">
        <v>7.7327077024545943E-2</v>
      </c>
      <c r="N88" s="46">
        <v>0.25386154410749412</v>
      </c>
      <c r="O88" s="47">
        <v>0.66881137886795994</v>
      </c>
    </row>
    <row r="89" spans="1:15" x14ac:dyDescent="0.2">
      <c r="A89" s="336"/>
      <c r="B89" s="35" t="s">
        <v>116</v>
      </c>
      <c r="C89" s="36">
        <v>0</v>
      </c>
      <c r="D89" s="43"/>
      <c r="E89" s="43"/>
      <c r="F89" s="43"/>
      <c r="G89" s="43"/>
      <c r="H89" s="43"/>
      <c r="I89" s="43"/>
      <c r="J89" s="43"/>
      <c r="K89" s="37"/>
      <c r="L89" s="48">
        <v>0</v>
      </c>
      <c r="M89" s="45">
        <v>0</v>
      </c>
      <c r="N89" s="46" t="e">
        <v>#DIV/0!</v>
      </c>
      <c r="O89" s="47"/>
    </row>
    <row r="90" spans="1:15" ht="16" thickBot="1" x14ac:dyDescent="0.25">
      <c r="A90" s="336"/>
      <c r="B90" s="49" t="s">
        <v>122</v>
      </c>
      <c r="C90" s="50">
        <v>15292.904279899976</v>
      </c>
      <c r="D90" s="50">
        <v>13620.791860039975</v>
      </c>
      <c r="E90" s="50">
        <v>1114.8749400799998</v>
      </c>
      <c r="F90" s="50">
        <v>286.29085271000008</v>
      </c>
      <c r="G90" s="50">
        <v>128.79709862000001</v>
      </c>
      <c r="H90" s="50">
        <v>52.962004899999997</v>
      </c>
      <c r="I90" s="50">
        <v>43.290690149999996</v>
      </c>
      <c r="J90" s="50">
        <v>26.138259710000003</v>
      </c>
      <c r="K90" s="50">
        <v>19.758573689999999</v>
      </c>
      <c r="L90" s="51"/>
      <c r="M90" s="51"/>
      <c r="N90" s="51"/>
      <c r="O90" s="52"/>
    </row>
    <row r="93" spans="1:15" s="31" customFormat="1" x14ac:dyDescent="0.2">
      <c r="A93" s="53"/>
      <c r="B93" s="30">
        <v>45748</v>
      </c>
      <c r="C93" s="55"/>
      <c r="D93" s="55"/>
      <c r="E93" s="55"/>
      <c r="F93" s="55"/>
      <c r="G93" s="55"/>
      <c r="H93" s="55"/>
      <c r="I93" s="55"/>
      <c r="J93" s="55"/>
      <c r="K93" s="55"/>
      <c r="L93" s="54"/>
      <c r="M93" s="54"/>
      <c r="N93" s="54"/>
      <c r="O93" s="54"/>
    </row>
    <row r="94" spans="1:15" s="31" customFormat="1" ht="16" thickBot="1" x14ac:dyDescent="0.25"/>
    <row r="95" spans="1:15" ht="17" thickBot="1" x14ac:dyDescent="0.25">
      <c r="B95" s="337" t="s">
        <v>103</v>
      </c>
      <c r="C95" s="338"/>
      <c r="D95" s="339" t="s">
        <v>104</v>
      </c>
      <c r="E95" s="340"/>
      <c r="F95" s="340"/>
      <c r="G95" s="340"/>
      <c r="H95" s="340"/>
      <c r="I95" s="340"/>
      <c r="J95" s="340"/>
      <c r="K95" s="340"/>
      <c r="L95" s="341" t="s">
        <v>105</v>
      </c>
      <c r="M95" s="342"/>
      <c r="N95" s="342"/>
      <c r="O95" s="343"/>
    </row>
    <row r="96" spans="1:15" ht="14.25" customHeight="1" x14ac:dyDescent="0.2">
      <c r="A96" s="336" t="s">
        <v>79</v>
      </c>
      <c r="B96" s="32" t="s">
        <v>107</v>
      </c>
      <c r="C96" s="33" t="s">
        <v>108</v>
      </c>
      <c r="D96" s="33" t="s">
        <v>109</v>
      </c>
      <c r="E96" s="33" t="s">
        <v>110</v>
      </c>
      <c r="F96" s="33" t="s">
        <v>111</v>
      </c>
      <c r="G96" s="33" t="s">
        <v>112</v>
      </c>
      <c r="H96" s="33" t="s">
        <v>113</v>
      </c>
      <c r="I96" s="33" t="s">
        <v>114</v>
      </c>
      <c r="J96" s="33" t="s">
        <v>115</v>
      </c>
      <c r="K96" s="33" t="s">
        <v>116</v>
      </c>
      <c r="L96" s="33" t="s">
        <v>117</v>
      </c>
      <c r="M96" s="33" t="s">
        <v>118</v>
      </c>
      <c r="N96" s="33" t="s">
        <v>119</v>
      </c>
      <c r="O96" s="34" t="s">
        <v>120</v>
      </c>
    </row>
    <row r="97" spans="1:15" x14ac:dyDescent="0.2">
      <c r="A97" s="336"/>
      <c r="B97" s="35" t="s">
        <v>121</v>
      </c>
      <c r="C97" s="36">
        <v>714.64963353999985</v>
      </c>
      <c r="D97" s="37">
        <v>709.93481963999989</v>
      </c>
      <c r="E97" s="38">
        <v>4.7148139000000002</v>
      </c>
      <c r="F97" s="38">
        <v>0</v>
      </c>
      <c r="G97" s="38">
        <v>0</v>
      </c>
      <c r="H97" s="38">
        <v>0</v>
      </c>
      <c r="I97" s="38">
        <v>0</v>
      </c>
      <c r="J97" s="38">
        <v>0</v>
      </c>
      <c r="K97" s="38">
        <v>0</v>
      </c>
      <c r="L97" s="39"/>
      <c r="M97" s="40"/>
      <c r="N97" s="41">
        <v>0.99340262181812755</v>
      </c>
      <c r="O97" s="42">
        <v>6.5973781818725388E-3</v>
      </c>
    </row>
    <row r="98" spans="1:15" x14ac:dyDescent="0.2">
      <c r="A98" s="336"/>
      <c r="B98" s="35" t="s">
        <v>109</v>
      </c>
      <c r="C98" s="36">
        <v>12978.861171009976</v>
      </c>
      <c r="D98" s="37">
        <v>12341.458002139976</v>
      </c>
      <c r="E98" s="38">
        <v>587.38294841999993</v>
      </c>
      <c r="F98" s="38">
        <v>50.020220449999997</v>
      </c>
      <c r="G98" s="38">
        <v>0</v>
      </c>
      <c r="H98" s="38">
        <v>0</v>
      </c>
      <c r="I98" s="38">
        <v>0</v>
      </c>
      <c r="J98" s="38">
        <v>0</v>
      </c>
      <c r="K98" s="38">
        <v>0</v>
      </c>
      <c r="L98" s="39"/>
      <c r="M98" s="40"/>
      <c r="N98" s="41">
        <v>0.95088912960300975</v>
      </c>
      <c r="O98" s="42">
        <v>4.911087039699024E-2</v>
      </c>
    </row>
    <row r="99" spans="1:15" x14ac:dyDescent="0.2">
      <c r="A99" s="336"/>
      <c r="B99" s="35" t="s">
        <v>110</v>
      </c>
      <c r="C99" s="36">
        <v>1162.4715898300001</v>
      </c>
      <c r="D99" s="43">
        <v>530.35565072999998</v>
      </c>
      <c r="E99" s="37">
        <v>465.05350993999997</v>
      </c>
      <c r="F99" s="38">
        <v>147.65018402000004</v>
      </c>
      <c r="G99" s="38">
        <v>19.41224514</v>
      </c>
      <c r="H99" s="38">
        <v>0</v>
      </c>
      <c r="I99" s="38">
        <v>0</v>
      </c>
      <c r="J99" s="38">
        <v>0</v>
      </c>
      <c r="K99" s="38">
        <v>0</v>
      </c>
      <c r="L99" s="44">
        <v>0.45623106437169725</v>
      </c>
      <c r="M99" s="45">
        <v>0.45623106437169725</v>
      </c>
      <c r="N99" s="46">
        <v>0.40005580696213783</v>
      </c>
      <c r="O99" s="47">
        <v>0.14371312866616487</v>
      </c>
    </row>
    <row r="100" spans="1:15" x14ac:dyDescent="0.2">
      <c r="A100" s="336"/>
      <c r="B100" s="35" t="s">
        <v>111</v>
      </c>
      <c r="C100" s="36">
        <v>211.62561805999997</v>
      </c>
      <c r="D100" s="43">
        <v>24.659890409999999</v>
      </c>
      <c r="E100" s="43">
        <v>54.123493859999996</v>
      </c>
      <c r="F100" s="37">
        <v>66.164237169999993</v>
      </c>
      <c r="G100" s="38">
        <v>58.289248979999996</v>
      </c>
      <c r="H100" s="38">
        <v>8.3887476399999983</v>
      </c>
      <c r="I100" s="38">
        <v>0</v>
      </c>
      <c r="J100" s="38">
        <v>0</v>
      </c>
      <c r="K100" s="38">
        <v>0</v>
      </c>
      <c r="L100" s="44">
        <v>0.1165260171999046</v>
      </c>
      <c r="M100" s="45">
        <v>0.3722771609232271</v>
      </c>
      <c r="N100" s="46">
        <v>0.3126475791378015</v>
      </c>
      <c r="O100" s="47">
        <v>0.31507525993897151</v>
      </c>
    </row>
    <row r="101" spans="1:15" x14ac:dyDescent="0.2">
      <c r="A101" s="336"/>
      <c r="B101" s="35" t="s">
        <v>112</v>
      </c>
      <c r="C101" s="36">
        <v>116.98340155</v>
      </c>
      <c r="D101" s="43">
        <v>11.93842463</v>
      </c>
      <c r="E101" s="43">
        <v>3.0947246499999999</v>
      </c>
      <c r="F101" s="43">
        <v>20.100014119999997</v>
      </c>
      <c r="G101" s="37">
        <v>45.439518619999994</v>
      </c>
      <c r="H101" s="38">
        <v>30.8972312</v>
      </c>
      <c r="I101" s="38">
        <v>5.5134883300000004</v>
      </c>
      <c r="J101" s="38">
        <v>0</v>
      </c>
      <c r="K101" s="38">
        <v>0</v>
      </c>
      <c r="L101" s="44">
        <v>0.10205229521298699</v>
      </c>
      <c r="M101" s="45">
        <v>0.30032605424782166</v>
      </c>
      <c r="N101" s="46">
        <v>0.38842705903519692</v>
      </c>
      <c r="O101" s="47">
        <v>0.31124688671698147</v>
      </c>
    </row>
    <row r="102" spans="1:15" x14ac:dyDescent="0.2">
      <c r="A102" s="336"/>
      <c r="B102" s="35" t="s">
        <v>113</v>
      </c>
      <c r="C102" s="36">
        <v>50.406337280000002</v>
      </c>
      <c r="D102" s="43">
        <v>1.5282689899999999</v>
      </c>
      <c r="E102" s="43">
        <v>0.18819976999999999</v>
      </c>
      <c r="F102" s="43">
        <v>1.2269242499999999</v>
      </c>
      <c r="G102" s="43">
        <v>5.5862129200000004</v>
      </c>
      <c r="H102" s="37">
        <v>10.102742839999999</v>
      </c>
      <c r="I102" s="38">
        <v>24.922427509999999</v>
      </c>
      <c r="J102" s="38">
        <v>6.8515610000000002</v>
      </c>
      <c r="K102" s="38">
        <v>0</v>
      </c>
      <c r="L102" s="44">
        <v>3.0318985121070868E-2</v>
      </c>
      <c r="M102" s="45">
        <v>0.16921693561306109</v>
      </c>
      <c r="N102" s="46">
        <v>0.20042604531808583</v>
      </c>
      <c r="O102" s="47">
        <v>0.630357019068853</v>
      </c>
    </row>
    <row r="103" spans="1:15" x14ac:dyDescent="0.2">
      <c r="A103" s="336"/>
      <c r="B103" s="35" t="s">
        <v>114</v>
      </c>
      <c r="C103" s="36">
        <v>30.339675309999997</v>
      </c>
      <c r="D103" s="43">
        <v>0.85271758999999991</v>
      </c>
      <c r="E103" s="43">
        <v>0.27604764000000004</v>
      </c>
      <c r="F103" s="43">
        <v>1.1236339499999999</v>
      </c>
      <c r="G103" s="43">
        <v>5.5378030000000002E-2</v>
      </c>
      <c r="H103" s="43">
        <v>3.2863310000000001</v>
      </c>
      <c r="I103" s="37">
        <v>11.135483829999998</v>
      </c>
      <c r="J103" s="38">
        <v>12.288534759999999</v>
      </c>
      <c r="K103" s="38">
        <v>1.32154851</v>
      </c>
      <c r="L103" s="44">
        <v>2.8105692670974073E-2</v>
      </c>
      <c r="M103" s="45">
        <v>0.1843825997754226</v>
      </c>
      <c r="N103" s="46">
        <v>0.36702712590763054</v>
      </c>
      <c r="O103" s="47">
        <v>0.44859027431694687</v>
      </c>
    </row>
    <row r="104" spans="1:15" x14ac:dyDescent="0.2">
      <c r="A104" s="336"/>
      <c r="B104" s="35" t="s">
        <v>115</v>
      </c>
      <c r="C104" s="36">
        <v>27.56685332</v>
      </c>
      <c r="D104" s="43">
        <v>6.408591000000001E-2</v>
      </c>
      <c r="E104" s="43">
        <v>4.12019E-2</v>
      </c>
      <c r="F104" s="43">
        <v>5.6387499999999997E-3</v>
      </c>
      <c r="G104" s="43">
        <v>1.449493E-2</v>
      </c>
      <c r="H104" s="43">
        <v>0.28695221999999998</v>
      </c>
      <c r="I104" s="43">
        <v>1.71929048</v>
      </c>
      <c r="J104" s="37">
        <v>6.9981639500000012</v>
      </c>
      <c r="K104" s="38">
        <v>18.437025179999999</v>
      </c>
      <c r="L104" s="48">
        <v>2.3247452023661005E-3</v>
      </c>
      <c r="M104" s="45">
        <v>7.7327077024545943E-2</v>
      </c>
      <c r="N104" s="46">
        <v>0.25386154410749412</v>
      </c>
      <c r="O104" s="47">
        <v>0.66881137886795994</v>
      </c>
    </row>
    <row r="105" spans="1:15" x14ac:dyDescent="0.2">
      <c r="A105" s="336"/>
      <c r="B105" s="35" t="s">
        <v>116</v>
      </c>
      <c r="C105" s="36">
        <v>0</v>
      </c>
      <c r="D105" s="43"/>
      <c r="E105" s="43"/>
      <c r="F105" s="43"/>
      <c r="G105" s="43"/>
      <c r="H105" s="43"/>
      <c r="I105" s="43"/>
      <c r="J105" s="43"/>
      <c r="K105" s="37"/>
      <c r="L105" s="48">
        <v>0</v>
      </c>
      <c r="M105" s="45">
        <v>0</v>
      </c>
      <c r="N105" s="46" t="e">
        <v>#DIV/0!</v>
      </c>
      <c r="O105" s="47"/>
    </row>
    <row r="106" spans="1:15" ht="16" thickBot="1" x14ac:dyDescent="0.25">
      <c r="A106" s="336"/>
      <c r="B106" s="49" t="s">
        <v>122</v>
      </c>
      <c r="C106" s="50">
        <v>15292.904279899976</v>
      </c>
      <c r="D106" s="50">
        <v>13620.791860039975</v>
      </c>
      <c r="E106" s="50">
        <v>1114.8749400799998</v>
      </c>
      <c r="F106" s="50">
        <v>286.29085271000008</v>
      </c>
      <c r="G106" s="50">
        <v>128.79709862000001</v>
      </c>
      <c r="H106" s="50">
        <v>52.962004899999997</v>
      </c>
      <c r="I106" s="50">
        <v>43.290690149999996</v>
      </c>
      <c r="J106" s="50">
        <v>26.138259710000003</v>
      </c>
      <c r="K106" s="50">
        <v>19.758573689999999</v>
      </c>
      <c r="L106" s="51"/>
      <c r="M106" s="51"/>
      <c r="N106" s="51"/>
      <c r="O106" s="52"/>
    </row>
    <row r="108" spans="1:15" s="31" customFormat="1" x14ac:dyDescent="0.2">
      <c r="A108" s="53"/>
      <c r="B108" s="30">
        <v>45748</v>
      </c>
      <c r="C108" s="55"/>
      <c r="D108" s="55"/>
      <c r="E108" s="55"/>
      <c r="F108" s="55"/>
      <c r="G108" s="55"/>
      <c r="H108" s="55"/>
      <c r="I108" s="55"/>
      <c r="J108" s="55"/>
      <c r="K108" s="55"/>
      <c r="L108" s="54"/>
      <c r="M108" s="54"/>
      <c r="N108" s="54"/>
      <c r="O108" s="54"/>
    </row>
    <row r="109" spans="1:15" s="31" customFormat="1" ht="16" thickBot="1" x14ac:dyDescent="0.25"/>
    <row r="110" spans="1:15" ht="17" thickBot="1" x14ac:dyDescent="0.25">
      <c r="B110" s="337" t="s">
        <v>103</v>
      </c>
      <c r="C110" s="338"/>
      <c r="D110" s="339" t="s">
        <v>104</v>
      </c>
      <c r="E110" s="340"/>
      <c r="F110" s="340"/>
      <c r="G110" s="340"/>
      <c r="H110" s="340"/>
      <c r="I110" s="340"/>
      <c r="J110" s="340"/>
      <c r="K110" s="340"/>
      <c r="L110" s="341" t="s">
        <v>105</v>
      </c>
      <c r="M110" s="342"/>
      <c r="N110" s="342"/>
      <c r="O110" s="343"/>
    </row>
    <row r="111" spans="1:15" ht="14.25" customHeight="1" x14ac:dyDescent="0.2">
      <c r="A111" s="336" t="s">
        <v>25</v>
      </c>
      <c r="B111" s="32" t="s">
        <v>107</v>
      </c>
      <c r="C111" s="33" t="s">
        <v>108</v>
      </c>
      <c r="D111" s="33" t="s">
        <v>109</v>
      </c>
      <c r="E111" s="33" t="s">
        <v>110</v>
      </c>
      <c r="F111" s="33" t="s">
        <v>111</v>
      </c>
      <c r="G111" s="33" t="s">
        <v>112</v>
      </c>
      <c r="H111" s="33" t="s">
        <v>113</v>
      </c>
      <c r="I111" s="33" t="s">
        <v>114</v>
      </c>
      <c r="J111" s="33" t="s">
        <v>115</v>
      </c>
      <c r="K111" s="33" t="s">
        <v>116</v>
      </c>
      <c r="L111" s="33" t="s">
        <v>117</v>
      </c>
      <c r="M111" s="33" t="s">
        <v>118</v>
      </c>
      <c r="N111" s="33" t="s">
        <v>119</v>
      </c>
      <c r="O111" s="34" t="s">
        <v>120</v>
      </c>
    </row>
    <row r="112" spans="1:15" x14ac:dyDescent="0.2">
      <c r="A112" s="336"/>
      <c r="B112" s="35" t="s">
        <v>121</v>
      </c>
      <c r="C112" s="36">
        <v>714.64963353999985</v>
      </c>
      <c r="D112" s="37">
        <v>709.93481963999989</v>
      </c>
      <c r="E112" s="38">
        <v>4.7148139000000002</v>
      </c>
      <c r="F112" s="38">
        <v>0</v>
      </c>
      <c r="G112" s="38">
        <v>0</v>
      </c>
      <c r="H112" s="38">
        <v>0</v>
      </c>
      <c r="I112" s="38">
        <v>0</v>
      </c>
      <c r="J112" s="38">
        <v>0</v>
      </c>
      <c r="K112" s="38">
        <v>0</v>
      </c>
      <c r="L112" s="39"/>
      <c r="M112" s="40"/>
      <c r="N112" s="41">
        <v>0.99340262181812755</v>
      </c>
      <c r="O112" s="42">
        <v>6.5973781818725388E-3</v>
      </c>
    </row>
    <row r="113" spans="1:15" x14ac:dyDescent="0.2">
      <c r="A113" s="336"/>
      <c r="B113" s="35" t="s">
        <v>109</v>
      </c>
      <c r="C113" s="36">
        <v>12978.861171009976</v>
      </c>
      <c r="D113" s="37">
        <v>12341.458002139976</v>
      </c>
      <c r="E113" s="38">
        <v>587.38294841999993</v>
      </c>
      <c r="F113" s="38">
        <v>50.020220449999997</v>
      </c>
      <c r="G113" s="38">
        <v>0</v>
      </c>
      <c r="H113" s="38">
        <v>0</v>
      </c>
      <c r="I113" s="38">
        <v>0</v>
      </c>
      <c r="J113" s="38">
        <v>0</v>
      </c>
      <c r="K113" s="38">
        <v>0</v>
      </c>
      <c r="L113" s="39"/>
      <c r="M113" s="40"/>
      <c r="N113" s="41">
        <v>0.95088912960300975</v>
      </c>
      <c r="O113" s="42">
        <v>4.911087039699024E-2</v>
      </c>
    </row>
    <row r="114" spans="1:15" x14ac:dyDescent="0.2">
      <c r="A114" s="336"/>
      <c r="B114" s="35" t="s">
        <v>110</v>
      </c>
      <c r="C114" s="36">
        <v>1162.4715898300001</v>
      </c>
      <c r="D114" s="43">
        <v>530.35565072999998</v>
      </c>
      <c r="E114" s="37">
        <v>465.05350993999997</v>
      </c>
      <c r="F114" s="38">
        <v>147.65018402000004</v>
      </c>
      <c r="G114" s="38">
        <v>19.41224514</v>
      </c>
      <c r="H114" s="38">
        <v>0</v>
      </c>
      <c r="I114" s="38">
        <v>0</v>
      </c>
      <c r="J114" s="38">
        <v>0</v>
      </c>
      <c r="K114" s="38">
        <v>0</v>
      </c>
      <c r="L114" s="44">
        <v>0.45623106437169725</v>
      </c>
      <c r="M114" s="45">
        <v>0.45623106437169725</v>
      </c>
      <c r="N114" s="46">
        <v>0.40005580696213783</v>
      </c>
      <c r="O114" s="47">
        <v>0.14371312866616487</v>
      </c>
    </row>
    <row r="115" spans="1:15" x14ac:dyDescent="0.2">
      <c r="A115" s="336"/>
      <c r="B115" s="35" t="s">
        <v>111</v>
      </c>
      <c r="C115" s="36">
        <v>211.62561805999997</v>
      </c>
      <c r="D115" s="43">
        <v>24.659890409999999</v>
      </c>
      <c r="E115" s="43">
        <v>54.123493859999996</v>
      </c>
      <c r="F115" s="37">
        <v>66.164237169999993</v>
      </c>
      <c r="G115" s="38">
        <v>58.289248979999996</v>
      </c>
      <c r="H115" s="38">
        <v>8.3887476399999983</v>
      </c>
      <c r="I115" s="38">
        <v>0</v>
      </c>
      <c r="J115" s="38">
        <v>0</v>
      </c>
      <c r="K115" s="38">
        <v>0</v>
      </c>
      <c r="L115" s="44">
        <v>0.1165260171999046</v>
      </c>
      <c r="M115" s="45">
        <v>0.3722771609232271</v>
      </c>
      <c r="N115" s="46">
        <v>0.3126475791378015</v>
      </c>
      <c r="O115" s="47">
        <v>0.31507525993897151</v>
      </c>
    </row>
    <row r="116" spans="1:15" x14ac:dyDescent="0.2">
      <c r="A116" s="336"/>
      <c r="B116" s="35" t="s">
        <v>112</v>
      </c>
      <c r="C116" s="36">
        <v>116.98340155</v>
      </c>
      <c r="D116" s="43">
        <v>11.93842463</v>
      </c>
      <c r="E116" s="43">
        <v>3.0947246499999999</v>
      </c>
      <c r="F116" s="43">
        <v>20.100014119999997</v>
      </c>
      <c r="G116" s="37">
        <v>45.439518619999994</v>
      </c>
      <c r="H116" s="38">
        <v>30.8972312</v>
      </c>
      <c r="I116" s="38">
        <v>5.5134883300000004</v>
      </c>
      <c r="J116" s="38">
        <v>0</v>
      </c>
      <c r="K116" s="38">
        <v>0</v>
      </c>
      <c r="L116" s="44">
        <v>0.10205229521298699</v>
      </c>
      <c r="M116" s="45">
        <v>0.30032605424782166</v>
      </c>
      <c r="N116" s="46">
        <v>0.38842705903519692</v>
      </c>
      <c r="O116" s="47">
        <v>0.31124688671698147</v>
      </c>
    </row>
    <row r="117" spans="1:15" x14ac:dyDescent="0.2">
      <c r="A117" s="336"/>
      <c r="B117" s="35" t="s">
        <v>113</v>
      </c>
      <c r="C117" s="36">
        <v>50.406337280000002</v>
      </c>
      <c r="D117" s="43">
        <v>1.5282689899999999</v>
      </c>
      <c r="E117" s="43">
        <v>0.18819976999999999</v>
      </c>
      <c r="F117" s="43">
        <v>1.2269242499999999</v>
      </c>
      <c r="G117" s="43">
        <v>5.5862129200000004</v>
      </c>
      <c r="H117" s="37">
        <v>10.102742839999999</v>
      </c>
      <c r="I117" s="38">
        <v>24.922427509999999</v>
      </c>
      <c r="J117" s="38">
        <v>6.8515610000000002</v>
      </c>
      <c r="K117" s="38">
        <v>0</v>
      </c>
      <c r="L117" s="44">
        <v>3.0318985121070868E-2</v>
      </c>
      <c r="M117" s="45">
        <v>0.16921693561306109</v>
      </c>
      <c r="N117" s="46">
        <v>0.20042604531808583</v>
      </c>
      <c r="O117" s="47">
        <v>0.630357019068853</v>
      </c>
    </row>
    <row r="118" spans="1:15" x14ac:dyDescent="0.2">
      <c r="A118" s="336"/>
      <c r="B118" s="35" t="s">
        <v>114</v>
      </c>
      <c r="C118" s="36">
        <v>30.339675309999997</v>
      </c>
      <c r="D118" s="43">
        <v>0.85271758999999991</v>
      </c>
      <c r="E118" s="43">
        <v>0.27604764000000004</v>
      </c>
      <c r="F118" s="43">
        <v>1.1236339499999999</v>
      </c>
      <c r="G118" s="43">
        <v>5.5378030000000002E-2</v>
      </c>
      <c r="H118" s="43">
        <v>3.2863310000000001</v>
      </c>
      <c r="I118" s="37">
        <v>11.135483829999998</v>
      </c>
      <c r="J118" s="38">
        <v>12.288534759999999</v>
      </c>
      <c r="K118" s="38">
        <v>1.32154851</v>
      </c>
      <c r="L118" s="44">
        <v>2.8105692670974073E-2</v>
      </c>
      <c r="M118" s="45">
        <v>0.1843825997754226</v>
      </c>
      <c r="N118" s="46">
        <v>0.36702712590763054</v>
      </c>
      <c r="O118" s="47">
        <v>0.44859027431694687</v>
      </c>
    </row>
    <row r="119" spans="1:15" x14ac:dyDescent="0.2">
      <c r="A119" s="336"/>
      <c r="B119" s="35" t="s">
        <v>115</v>
      </c>
      <c r="C119" s="36">
        <v>27.56685332</v>
      </c>
      <c r="D119" s="43">
        <v>6.408591000000001E-2</v>
      </c>
      <c r="E119" s="43">
        <v>4.12019E-2</v>
      </c>
      <c r="F119" s="43">
        <v>5.6387499999999997E-3</v>
      </c>
      <c r="G119" s="43">
        <v>1.449493E-2</v>
      </c>
      <c r="H119" s="43">
        <v>0.28695221999999998</v>
      </c>
      <c r="I119" s="43">
        <v>1.71929048</v>
      </c>
      <c r="J119" s="37">
        <v>6.9981639500000012</v>
      </c>
      <c r="K119" s="38">
        <v>18.437025179999999</v>
      </c>
      <c r="L119" s="48">
        <v>2.3247452023661005E-3</v>
      </c>
      <c r="M119" s="45">
        <v>7.7327077024545943E-2</v>
      </c>
      <c r="N119" s="46">
        <v>0.25386154410749412</v>
      </c>
      <c r="O119" s="47">
        <v>0.66881137886795994</v>
      </c>
    </row>
    <row r="120" spans="1:15" x14ac:dyDescent="0.2">
      <c r="A120" s="336"/>
      <c r="B120" s="35" t="s">
        <v>116</v>
      </c>
      <c r="C120" s="36">
        <v>0</v>
      </c>
      <c r="D120" s="43"/>
      <c r="E120" s="43"/>
      <c r="F120" s="43"/>
      <c r="G120" s="43"/>
      <c r="H120" s="43"/>
      <c r="I120" s="43"/>
      <c r="J120" s="43"/>
      <c r="K120" s="37"/>
      <c r="L120" s="48">
        <v>0</v>
      </c>
      <c r="M120" s="45">
        <v>0</v>
      </c>
      <c r="N120" s="46" t="e">
        <v>#DIV/0!</v>
      </c>
      <c r="O120" s="47"/>
    </row>
    <row r="121" spans="1:15" ht="16" thickBot="1" x14ac:dyDescent="0.25">
      <c r="A121" s="336"/>
      <c r="B121" s="49" t="s">
        <v>122</v>
      </c>
      <c r="C121" s="50">
        <v>15292.904279899976</v>
      </c>
      <c r="D121" s="50">
        <v>13620.791860039975</v>
      </c>
      <c r="E121" s="50">
        <v>1114.8749400799998</v>
      </c>
      <c r="F121" s="50">
        <v>286.29085271000008</v>
      </c>
      <c r="G121" s="50">
        <v>128.79709862000001</v>
      </c>
      <c r="H121" s="50">
        <v>52.962004899999997</v>
      </c>
      <c r="I121" s="50">
        <v>43.290690149999996</v>
      </c>
      <c r="J121" s="50">
        <v>26.138259710000003</v>
      </c>
      <c r="K121" s="50">
        <v>19.758573689999999</v>
      </c>
      <c r="L121" s="51"/>
      <c r="M121" s="51"/>
      <c r="N121" s="51"/>
      <c r="O121" s="52"/>
    </row>
    <row r="124" spans="1:15" ht="19" x14ac:dyDescent="0.2">
      <c r="B124" s="282" t="s">
        <v>125</v>
      </c>
    </row>
    <row r="125" spans="1:15" x14ac:dyDescent="0.2">
      <c r="B125" s="283" t="s">
        <v>126</v>
      </c>
      <c r="C125" s="284">
        <v>45748</v>
      </c>
      <c r="D125" s="284">
        <v>45778</v>
      </c>
      <c r="E125" s="284">
        <v>45809</v>
      </c>
      <c r="F125" s="284">
        <v>45839</v>
      </c>
      <c r="G125" s="284">
        <v>45870</v>
      </c>
      <c r="H125" s="284">
        <v>45901</v>
      </c>
      <c r="I125" s="284">
        <v>45931</v>
      </c>
      <c r="J125" s="284">
        <v>45962</v>
      </c>
    </row>
    <row r="126" spans="1:15" ht="32" x14ac:dyDescent="0.2">
      <c r="B126" s="285" t="s">
        <v>127</v>
      </c>
      <c r="C126" s="286">
        <v>0.123</v>
      </c>
      <c r="D126" s="286">
        <v>0.121</v>
      </c>
      <c r="E126" s="286">
        <v>0.106</v>
      </c>
      <c r="F126" s="286">
        <v>0.109</v>
      </c>
      <c r="G126" s="286">
        <v>0.10949999999999999</v>
      </c>
      <c r="H126" s="286">
        <v>0.11019999999999999</v>
      </c>
      <c r="I126" s="286">
        <v>0.1152</v>
      </c>
      <c r="J126" s="286">
        <v>0.11849999999999999</v>
      </c>
    </row>
    <row r="128" spans="1:15" ht="17" x14ac:dyDescent="0.2">
      <c r="B128" s="287" t="s">
        <v>128</v>
      </c>
    </row>
    <row r="129" spans="2:2" x14ac:dyDescent="0.2">
      <c r="B129" t="s">
        <v>129</v>
      </c>
    </row>
    <row r="136" spans="2:2" x14ac:dyDescent="0.2">
      <c r="B136" t="s">
        <v>130</v>
      </c>
    </row>
  </sheetData>
  <mergeCells count="32">
    <mergeCell ref="B4:C4"/>
    <mergeCell ref="D4:K4"/>
    <mergeCell ref="L4:O4"/>
    <mergeCell ref="A5:A15"/>
    <mergeCell ref="B19:C19"/>
    <mergeCell ref="D19:K19"/>
    <mergeCell ref="L19:O19"/>
    <mergeCell ref="B79:C79"/>
    <mergeCell ref="D79:K79"/>
    <mergeCell ref="L79:O79"/>
    <mergeCell ref="A20:A30"/>
    <mergeCell ref="B34:C34"/>
    <mergeCell ref="D34:K34"/>
    <mergeCell ref="L34:O34"/>
    <mergeCell ref="A35:A45"/>
    <mergeCell ref="B49:C49"/>
    <mergeCell ref="D49:K49"/>
    <mergeCell ref="L49:O49"/>
    <mergeCell ref="A50:A60"/>
    <mergeCell ref="B64:C64"/>
    <mergeCell ref="D64:K64"/>
    <mergeCell ref="L64:O64"/>
    <mergeCell ref="A65:A75"/>
    <mergeCell ref="A111:A121"/>
    <mergeCell ref="A80:A90"/>
    <mergeCell ref="B95:C95"/>
    <mergeCell ref="D95:K95"/>
    <mergeCell ref="L95:O95"/>
    <mergeCell ref="A96:A106"/>
    <mergeCell ref="B110:C110"/>
    <mergeCell ref="D110:K110"/>
    <mergeCell ref="L110:O1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2255-640B-414B-BC21-60ADD0AF237B}">
  <dimension ref="A2:M46"/>
  <sheetViews>
    <sheetView topLeftCell="A32" workbookViewId="0">
      <selection activeCell="H46" sqref="H46"/>
    </sheetView>
  </sheetViews>
  <sheetFormatPr baseColWidth="10" defaultColWidth="8.83203125" defaultRowHeight="15" x14ac:dyDescent="0.2"/>
  <cols>
    <col min="1" max="1" width="25.33203125" customWidth="1"/>
  </cols>
  <sheetData>
    <row r="2" spans="1:13" x14ac:dyDescent="0.2">
      <c r="A2" s="82" t="s">
        <v>131</v>
      </c>
      <c r="B2" s="82">
        <v>45767</v>
      </c>
      <c r="C2" s="82">
        <v>45797</v>
      </c>
      <c r="D2" s="82">
        <v>45828</v>
      </c>
      <c r="E2" s="82">
        <v>45858</v>
      </c>
      <c r="F2" s="82">
        <v>45889</v>
      </c>
      <c r="G2" s="82">
        <v>45920</v>
      </c>
      <c r="H2" s="82">
        <v>45950</v>
      </c>
      <c r="I2" s="82">
        <v>45981</v>
      </c>
      <c r="J2" s="82">
        <v>46011</v>
      </c>
      <c r="K2" s="82">
        <v>46042</v>
      </c>
      <c r="L2" s="82">
        <v>46073</v>
      </c>
      <c r="M2" s="82">
        <v>46101</v>
      </c>
    </row>
    <row r="3" spans="1:13" ht="16" x14ac:dyDescent="0.2">
      <c r="A3" s="275" t="s">
        <v>132</v>
      </c>
      <c r="B3" s="57">
        <v>0.8</v>
      </c>
      <c r="C3" s="57">
        <v>0.82</v>
      </c>
      <c r="D3" s="57">
        <v>0.80269999999999997</v>
      </c>
      <c r="E3" s="57">
        <v>0.79779999999999995</v>
      </c>
      <c r="F3" s="57">
        <v>0.79379999999999995</v>
      </c>
      <c r="G3" s="58">
        <v>0.79</v>
      </c>
      <c r="H3" s="58">
        <f>G3</f>
        <v>0.79</v>
      </c>
      <c r="I3" s="58">
        <f t="shared" ref="I3:M15" si="0">H3</f>
        <v>0.79</v>
      </c>
      <c r="J3" s="58">
        <f t="shared" si="0"/>
        <v>0.79</v>
      </c>
      <c r="K3" s="58">
        <f t="shared" si="0"/>
        <v>0.79</v>
      </c>
      <c r="L3" s="58">
        <f t="shared" si="0"/>
        <v>0.79</v>
      </c>
      <c r="M3" s="58">
        <f t="shared" si="0"/>
        <v>0.79</v>
      </c>
    </row>
    <row r="4" spans="1:13" ht="16" x14ac:dyDescent="0.2">
      <c r="A4" s="56" t="s">
        <v>133</v>
      </c>
      <c r="B4" s="57"/>
      <c r="C4" s="57"/>
      <c r="D4" s="57"/>
      <c r="E4" s="57"/>
      <c r="F4" s="57"/>
      <c r="G4" s="58"/>
      <c r="H4" s="58"/>
      <c r="I4" s="58"/>
      <c r="J4" s="58"/>
      <c r="K4" s="58"/>
      <c r="L4" s="58"/>
      <c r="M4" s="58"/>
    </row>
    <row r="5" spans="1:13" ht="16" x14ac:dyDescent="0.2">
      <c r="A5" s="56" t="s">
        <v>134</v>
      </c>
      <c r="B5" s="57"/>
      <c r="C5" s="57"/>
      <c r="D5" s="57"/>
      <c r="E5" s="57"/>
      <c r="F5" s="57"/>
      <c r="G5" s="58"/>
      <c r="H5" s="58"/>
      <c r="I5" s="58"/>
      <c r="J5" s="58"/>
      <c r="K5" s="58"/>
      <c r="L5" s="58"/>
      <c r="M5" s="58"/>
    </row>
    <row r="6" spans="1:13" ht="16" x14ac:dyDescent="0.2">
      <c r="A6" s="56" t="s">
        <v>135</v>
      </c>
      <c r="B6" s="57"/>
      <c r="C6" s="57"/>
      <c r="D6" s="57"/>
      <c r="E6" s="57"/>
      <c r="F6" s="57"/>
      <c r="G6" s="58"/>
      <c r="H6" s="58"/>
      <c r="I6" s="58"/>
      <c r="J6" s="58"/>
      <c r="K6" s="58"/>
      <c r="L6" s="58"/>
      <c r="M6" s="58"/>
    </row>
    <row r="7" spans="1:13" ht="16" x14ac:dyDescent="0.2">
      <c r="A7" s="276" t="s">
        <v>136</v>
      </c>
      <c r="B7" s="60">
        <v>0.28199999999999997</v>
      </c>
      <c r="C7" s="60">
        <v>0.29599999999999999</v>
      </c>
      <c r="D7" s="60">
        <v>0.31809999999999999</v>
      </c>
      <c r="E7" s="60">
        <v>0.2606</v>
      </c>
      <c r="F7" s="60">
        <v>0.28989999999999999</v>
      </c>
      <c r="G7" s="61">
        <v>0.27</v>
      </c>
      <c r="H7" s="61">
        <f t="shared" ref="H7:H15" si="1">G7</f>
        <v>0.27</v>
      </c>
      <c r="I7" s="61">
        <f t="shared" si="0"/>
        <v>0.27</v>
      </c>
      <c r="J7" s="61">
        <f t="shared" si="0"/>
        <v>0.27</v>
      </c>
      <c r="K7" s="61">
        <f t="shared" si="0"/>
        <v>0.27</v>
      </c>
      <c r="L7" s="61">
        <f t="shared" si="0"/>
        <v>0.27</v>
      </c>
      <c r="M7" s="61">
        <f t="shared" si="0"/>
        <v>0.27</v>
      </c>
    </row>
    <row r="8" spans="1:13" ht="16" x14ac:dyDescent="0.2">
      <c r="A8" s="59" t="s">
        <v>137</v>
      </c>
      <c r="B8" s="61">
        <v>0.1401</v>
      </c>
      <c r="C8" s="61">
        <v>0.18</v>
      </c>
      <c r="D8" s="61">
        <v>0.1613</v>
      </c>
      <c r="E8" s="61">
        <v>0.15</v>
      </c>
      <c r="F8" s="61">
        <v>0.18609999999999999</v>
      </c>
      <c r="G8" s="61">
        <v>0.16</v>
      </c>
      <c r="H8" s="61">
        <f t="shared" si="1"/>
        <v>0.16</v>
      </c>
      <c r="I8" s="61">
        <f t="shared" si="0"/>
        <v>0.16</v>
      </c>
      <c r="J8" s="61">
        <f t="shared" si="0"/>
        <v>0.16</v>
      </c>
      <c r="K8" s="61">
        <f t="shared" si="0"/>
        <v>0.16</v>
      </c>
      <c r="L8" s="61">
        <f t="shared" si="0"/>
        <v>0.16</v>
      </c>
      <c r="M8" s="61">
        <f t="shared" si="0"/>
        <v>0.16</v>
      </c>
    </row>
    <row r="9" spans="1:13" ht="16" x14ac:dyDescent="0.2">
      <c r="A9" s="59" t="s">
        <v>138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</row>
    <row r="10" spans="1:13" ht="16" x14ac:dyDescent="0.2">
      <c r="A10" s="59" t="s">
        <v>139</v>
      </c>
      <c r="B10" s="61">
        <f t="shared" ref="B10:G10" si="2">B7-B8</f>
        <v>0.14189999999999997</v>
      </c>
      <c r="C10" s="61">
        <f t="shared" si="2"/>
        <v>0.11599999999999999</v>
      </c>
      <c r="D10" s="61">
        <f t="shared" si="2"/>
        <v>0.15679999999999999</v>
      </c>
      <c r="E10" s="61">
        <f t="shared" si="2"/>
        <v>0.1106</v>
      </c>
      <c r="F10" s="61">
        <f t="shared" si="2"/>
        <v>0.1038</v>
      </c>
      <c r="G10" s="61">
        <f t="shared" si="2"/>
        <v>0.11000000000000001</v>
      </c>
      <c r="H10" s="61">
        <f t="shared" si="1"/>
        <v>0.11000000000000001</v>
      </c>
      <c r="I10" s="61">
        <f t="shared" si="0"/>
        <v>0.11000000000000001</v>
      </c>
      <c r="J10" s="61">
        <f t="shared" si="0"/>
        <v>0.11000000000000001</v>
      </c>
      <c r="K10" s="61">
        <f t="shared" si="0"/>
        <v>0.11000000000000001</v>
      </c>
      <c r="L10" s="61">
        <f t="shared" si="0"/>
        <v>0.11000000000000001</v>
      </c>
      <c r="M10" s="61">
        <f t="shared" si="0"/>
        <v>0.11000000000000001</v>
      </c>
    </row>
    <row r="11" spans="1:13" ht="16" x14ac:dyDescent="0.2">
      <c r="A11" s="59" t="s">
        <v>140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</row>
    <row r="12" spans="1:13" ht="16" x14ac:dyDescent="0.2">
      <c r="A12" s="277" t="s">
        <v>141</v>
      </c>
      <c r="B12" s="63">
        <v>0.186</v>
      </c>
      <c r="C12" s="63">
        <v>0.19900000000000001</v>
      </c>
      <c r="D12" s="63">
        <v>0.15329999999999999</v>
      </c>
      <c r="E12" s="63">
        <v>0.1565</v>
      </c>
      <c r="F12" s="63">
        <v>0.16950000000000001</v>
      </c>
      <c r="G12" s="64">
        <v>0.16</v>
      </c>
      <c r="H12" s="64">
        <f t="shared" si="1"/>
        <v>0.16</v>
      </c>
      <c r="I12" s="64">
        <f t="shared" si="0"/>
        <v>0.16</v>
      </c>
      <c r="J12" s="64">
        <f t="shared" si="0"/>
        <v>0.16</v>
      </c>
      <c r="K12" s="64">
        <f t="shared" si="0"/>
        <v>0.16</v>
      </c>
      <c r="L12" s="64">
        <f t="shared" si="0"/>
        <v>0.16</v>
      </c>
      <c r="M12" s="64">
        <f t="shared" si="0"/>
        <v>0.16</v>
      </c>
    </row>
    <row r="13" spans="1:13" ht="16" x14ac:dyDescent="0.2">
      <c r="A13" s="62" t="s">
        <v>142</v>
      </c>
      <c r="B13" s="65">
        <v>3.27E-2</v>
      </c>
      <c r="C13" s="64">
        <v>6.13E-2</v>
      </c>
      <c r="D13" s="64">
        <v>7.7299999999999994E-2</v>
      </c>
      <c r="E13" s="64">
        <v>7.9899999999999999E-2</v>
      </c>
      <c r="F13" s="64">
        <v>5.21E-2</v>
      </c>
      <c r="G13" s="64">
        <v>5.21E-2</v>
      </c>
      <c r="H13" s="64">
        <f t="shared" si="1"/>
        <v>5.21E-2</v>
      </c>
      <c r="I13" s="64">
        <f t="shared" si="0"/>
        <v>5.21E-2</v>
      </c>
      <c r="J13" s="64">
        <f t="shared" si="0"/>
        <v>5.21E-2</v>
      </c>
      <c r="K13" s="64">
        <f t="shared" si="0"/>
        <v>5.21E-2</v>
      </c>
      <c r="L13" s="64">
        <f t="shared" si="0"/>
        <v>5.21E-2</v>
      </c>
      <c r="M13" s="64">
        <f t="shared" si="0"/>
        <v>5.21E-2</v>
      </c>
    </row>
    <row r="14" spans="1:13" ht="16" x14ac:dyDescent="0.2">
      <c r="A14" s="62" t="s">
        <v>143</v>
      </c>
      <c r="B14" s="66">
        <v>0.02</v>
      </c>
      <c r="C14" s="66">
        <v>0.02</v>
      </c>
      <c r="D14" s="66">
        <v>0.02</v>
      </c>
      <c r="E14" s="66">
        <v>0.02</v>
      </c>
      <c r="F14" s="66">
        <v>0.02</v>
      </c>
      <c r="G14" s="64">
        <v>0.02</v>
      </c>
      <c r="H14" s="64">
        <f t="shared" ref="H14:M14" si="3">G14</f>
        <v>0.02</v>
      </c>
      <c r="I14" s="64">
        <f t="shared" si="3"/>
        <v>0.02</v>
      </c>
      <c r="J14" s="64">
        <f t="shared" si="3"/>
        <v>0.02</v>
      </c>
      <c r="K14" s="64">
        <f t="shared" si="3"/>
        <v>0.02</v>
      </c>
      <c r="L14" s="64">
        <f t="shared" si="3"/>
        <v>0.02</v>
      </c>
      <c r="M14" s="64">
        <f t="shared" si="3"/>
        <v>0.02</v>
      </c>
    </row>
    <row r="15" spans="1:13" ht="16" x14ac:dyDescent="0.2">
      <c r="A15" s="62" t="s">
        <v>144</v>
      </c>
      <c r="B15" s="64">
        <f t="shared" ref="B15:G15" si="4">B12-B14-B13</f>
        <v>0.1333</v>
      </c>
      <c r="C15" s="64">
        <f t="shared" si="4"/>
        <v>0.11770000000000003</v>
      </c>
      <c r="D15" s="64">
        <f t="shared" si="4"/>
        <v>5.6000000000000008E-2</v>
      </c>
      <c r="E15" s="64">
        <f t="shared" si="4"/>
        <v>5.6600000000000011E-2</v>
      </c>
      <c r="F15" s="64">
        <f t="shared" si="4"/>
        <v>9.7400000000000014E-2</v>
      </c>
      <c r="G15" s="64">
        <f t="shared" si="4"/>
        <v>8.7900000000000006E-2</v>
      </c>
      <c r="H15" s="64">
        <f t="shared" si="1"/>
        <v>8.7900000000000006E-2</v>
      </c>
      <c r="I15" s="64">
        <f t="shared" si="0"/>
        <v>8.7900000000000006E-2</v>
      </c>
      <c r="J15" s="64">
        <f t="shared" si="0"/>
        <v>8.7900000000000006E-2</v>
      </c>
      <c r="K15" s="64">
        <f t="shared" si="0"/>
        <v>8.7900000000000006E-2</v>
      </c>
      <c r="L15" s="64">
        <f t="shared" si="0"/>
        <v>8.7900000000000006E-2</v>
      </c>
      <c r="M15" s="64">
        <f t="shared" si="0"/>
        <v>8.7900000000000006E-2</v>
      </c>
    </row>
    <row r="16" spans="1:13" ht="16" x14ac:dyDescent="0.2">
      <c r="A16" s="62" t="s">
        <v>145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</row>
    <row r="17" spans="1:13" ht="16" x14ac:dyDescent="0.2">
      <c r="A17" s="278" t="s">
        <v>146</v>
      </c>
      <c r="B17" s="68">
        <v>0.186</v>
      </c>
      <c r="C17" s="68">
        <v>0.19900000000000001</v>
      </c>
      <c r="D17" s="68">
        <v>0.15329999999999999</v>
      </c>
      <c r="E17" s="68">
        <v>0.1565</v>
      </c>
      <c r="F17" s="68">
        <v>0.16950000000000001</v>
      </c>
      <c r="G17" s="69">
        <v>0.16</v>
      </c>
      <c r="H17" s="69">
        <f t="shared" ref="H17:H18" si="5">G17</f>
        <v>0.16</v>
      </c>
      <c r="I17" s="69">
        <f t="shared" ref="I17:I18" si="6">H17</f>
        <v>0.16</v>
      </c>
      <c r="J17" s="69">
        <f t="shared" ref="J17:J18" si="7">I17</f>
        <v>0.16</v>
      </c>
      <c r="K17" s="69">
        <f t="shared" ref="K17:K18" si="8">J17</f>
        <v>0.16</v>
      </c>
      <c r="L17" s="69">
        <f t="shared" ref="L17:L18" si="9">K17</f>
        <v>0.16</v>
      </c>
      <c r="M17" s="69">
        <f t="shared" ref="M17:M18" si="10">L17</f>
        <v>0.16</v>
      </c>
    </row>
    <row r="18" spans="1:13" ht="16" x14ac:dyDescent="0.2">
      <c r="A18" s="67" t="s">
        <v>147</v>
      </c>
      <c r="B18" s="70">
        <v>3.27E-2</v>
      </c>
      <c r="C18" s="69">
        <v>6.13E-2</v>
      </c>
      <c r="D18" s="69">
        <v>7.7299999999999994E-2</v>
      </c>
      <c r="E18" s="69">
        <v>7.9899999999999999E-2</v>
      </c>
      <c r="F18" s="69">
        <v>5.21E-2</v>
      </c>
      <c r="G18" s="69">
        <v>5.21E-2</v>
      </c>
      <c r="H18" s="69">
        <f t="shared" si="5"/>
        <v>5.21E-2</v>
      </c>
      <c r="I18" s="69">
        <f t="shared" si="6"/>
        <v>5.21E-2</v>
      </c>
      <c r="J18" s="69">
        <f t="shared" si="7"/>
        <v>5.21E-2</v>
      </c>
      <c r="K18" s="69">
        <f t="shared" si="8"/>
        <v>5.21E-2</v>
      </c>
      <c r="L18" s="69">
        <f t="shared" si="9"/>
        <v>5.21E-2</v>
      </c>
      <c r="M18" s="69">
        <f t="shared" si="10"/>
        <v>5.21E-2</v>
      </c>
    </row>
    <row r="19" spans="1:13" ht="16" x14ac:dyDescent="0.2">
      <c r="A19" s="67" t="s">
        <v>148</v>
      </c>
      <c r="B19" s="71">
        <v>0.02</v>
      </c>
      <c r="C19" s="71">
        <v>0.02</v>
      </c>
      <c r="D19" s="71">
        <v>0.02</v>
      </c>
      <c r="E19" s="71">
        <v>0.02</v>
      </c>
      <c r="F19" s="71">
        <v>0.02</v>
      </c>
      <c r="G19" s="69">
        <v>0.02</v>
      </c>
      <c r="H19" s="69">
        <f t="shared" ref="H19:M19" si="11">G19</f>
        <v>0.02</v>
      </c>
      <c r="I19" s="69">
        <f t="shared" si="11"/>
        <v>0.02</v>
      </c>
      <c r="J19" s="69">
        <f t="shared" si="11"/>
        <v>0.02</v>
      </c>
      <c r="K19" s="69">
        <f t="shared" si="11"/>
        <v>0.02</v>
      </c>
      <c r="L19" s="69">
        <f t="shared" si="11"/>
        <v>0.02</v>
      </c>
      <c r="M19" s="69">
        <f t="shared" si="11"/>
        <v>0.02</v>
      </c>
    </row>
    <row r="20" spans="1:13" ht="16" x14ac:dyDescent="0.2">
      <c r="A20" s="67" t="s">
        <v>149</v>
      </c>
      <c r="B20" s="69">
        <f t="shared" ref="B20:G20" si="12">B17-B19-B18</f>
        <v>0.1333</v>
      </c>
      <c r="C20" s="69">
        <f t="shared" si="12"/>
        <v>0.11770000000000003</v>
      </c>
      <c r="D20" s="69">
        <f t="shared" si="12"/>
        <v>5.6000000000000008E-2</v>
      </c>
      <c r="E20" s="69">
        <f t="shared" si="12"/>
        <v>5.6600000000000011E-2</v>
      </c>
      <c r="F20" s="69">
        <f t="shared" si="12"/>
        <v>9.7400000000000014E-2</v>
      </c>
      <c r="G20" s="69">
        <f t="shared" si="12"/>
        <v>8.7900000000000006E-2</v>
      </c>
      <c r="H20" s="69">
        <f t="shared" ref="H20:H23" si="13">G20</f>
        <v>8.7900000000000006E-2</v>
      </c>
      <c r="I20" s="69">
        <f t="shared" ref="I20:I23" si="14">H20</f>
        <v>8.7900000000000006E-2</v>
      </c>
      <c r="J20" s="69">
        <f t="shared" ref="J20:J23" si="15">I20</f>
        <v>8.7900000000000006E-2</v>
      </c>
      <c r="K20" s="69">
        <f t="shared" ref="K20:K23" si="16">J20</f>
        <v>8.7900000000000006E-2</v>
      </c>
      <c r="L20" s="69">
        <f t="shared" ref="L20:L23" si="17">K20</f>
        <v>8.7900000000000006E-2</v>
      </c>
      <c r="M20" s="69">
        <f t="shared" ref="M20:M23" si="18">L20</f>
        <v>8.7900000000000006E-2</v>
      </c>
    </row>
    <row r="21" spans="1:13" ht="16" x14ac:dyDescent="0.2">
      <c r="A21" s="67" t="s">
        <v>150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</row>
    <row r="22" spans="1:13" ht="16" x14ac:dyDescent="0.2">
      <c r="A22" s="280" t="s">
        <v>151</v>
      </c>
      <c r="B22" s="78">
        <v>0.186</v>
      </c>
      <c r="C22" s="78">
        <v>0.19900000000000001</v>
      </c>
      <c r="D22" s="78">
        <v>0.15329999999999999</v>
      </c>
      <c r="E22" s="78">
        <v>0.1565</v>
      </c>
      <c r="F22" s="78">
        <v>0.16950000000000001</v>
      </c>
      <c r="G22" s="79">
        <v>0.16</v>
      </c>
      <c r="H22" s="79">
        <f t="shared" si="13"/>
        <v>0.16</v>
      </c>
      <c r="I22" s="79">
        <f t="shared" si="14"/>
        <v>0.16</v>
      </c>
      <c r="J22" s="79">
        <f t="shared" si="15"/>
        <v>0.16</v>
      </c>
      <c r="K22" s="79">
        <f t="shared" si="16"/>
        <v>0.16</v>
      </c>
      <c r="L22" s="79">
        <f t="shared" si="17"/>
        <v>0.16</v>
      </c>
      <c r="M22" s="79">
        <f t="shared" si="18"/>
        <v>0.16</v>
      </c>
    </row>
    <row r="23" spans="1:13" ht="16" x14ac:dyDescent="0.2">
      <c r="A23" s="77" t="s">
        <v>152</v>
      </c>
      <c r="B23" s="80">
        <v>3.27E-2</v>
      </c>
      <c r="C23" s="79">
        <v>6.13E-2</v>
      </c>
      <c r="D23" s="79">
        <v>7.7299999999999994E-2</v>
      </c>
      <c r="E23" s="79">
        <v>7.9899999999999999E-2</v>
      </c>
      <c r="F23" s="79">
        <v>5.21E-2</v>
      </c>
      <c r="G23" s="79">
        <v>5.21E-2</v>
      </c>
      <c r="H23" s="79">
        <f t="shared" si="13"/>
        <v>5.21E-2</v>
      </c>
      <c r="I23" s="79">
        <f t="shared" si="14"/>
        <v>5.21E-2</v>
      </c>
      <c r="J23" s="79">
        <f t="shared" si="15"/>
        <v>5.21E-2</v>
      </c>
      <c r="K23" s="79">
        <f t="shared" si="16"/>
        <v>5.21E-2</v>
      </c>
      <c r="L23" s="79">
        <f t="shared" si="17"/>
        <v>5.21E-2</v>
      </c>
      <c r="M23" s="79">
        <f t="shared" si="18"/>
        <v>5.21E-2</v>
      </c>
    </row>
    <row r="24" spans="1:13" ht="16" x14ac:dyDescent="0.2">
      <c r="A24" s="77" t="s">
        <v>153</v>
      </c>
      <c r="B24" s="81">
        <v>0.02</v>
      </c>
      <c r="C24" s="81">
        <v>0.02</v>
      </c>
      <c r="D24" s="81">
        <v>0.02</v>
      </c>
      <c r="E24" s="81">
        <v>0.02</v>
      </c>
      <c r="F24" s="81">
        <v>0.02</v>
      </c>
      <c r="G24" s="79">
        <v>0.02</v>
      </c>
      <c r="H24" s="79">
        <f t="shared" ref="H24:M24" si="19">G24</f>
        <v>0.02</v>
      </c>
      <c r="I24" s="79">
        <f t="shared" si="19"/>
        <v>0.02</v>
      </c>
      <c r="J24" s="79">
        <f t="shared" si="19"/>
        <v>0.02</v>
      </c>
      <c r="K24" s="79">
        <f t="shared" si="19"/>
        <v>0.02</v>
      </c>
      <c r="L24" s="79">
        <f t="shared" si="19"/>
        <v>0.02</v>
      </c>
      <c r="M24" s="79">
        <f t="shared" si="19"/>
        <v>0.02</v>
      </c>
    </row>
    <row r="25" spans="1:13" ht="16" x14ac:dyDescent="0.2">
      <c r="A25" s="77" t="s">
        <v>154</v>
      </c>
      <c r="B25" s="79">
        <f t="shared" ref="B25:G25" si="20">B22-B24-B23</f>
        <v>0.1333</v>
      </c>
      <c r="C25" s="79">
        <f t="shared" si="20"/>
        <v>0.11770000000000003</v>
      </c>
      <c r="D25" s="79">
        <f t="shared" si="20"/>
        <v>5.6000000000000008E-2</v>
      </c>
      <c r="E25" s="79">
        <f t="shared" si="20"/>
        <v>5.6600000000000011E-2</v>
      </c>
      <c r="F25" s="79">
        <f t="shared" si="20"/>
        <v>9.7400000000000014E-2</v>
      </c>
      <c r="G25" s="79">
        <f t="shared" si="20"/>
        <v>8.7900000000000006E-2</v>
      </c>
      <c r="H25" s="79">
        <f t="shared" ref="H25:H28" si="21">G25</f>
        <v>8.7900000000000006E-2</v>
      </c>
      <c r="I25" s="79">
        <f t="shared" ref="I25:I28" si="22">H25</f>
        <v>8.7900000000000006E-2</v>
      </c>
      <c r="J25" s="79">
        <f t="shared" ref="J25:J28" si="23">I25</f>
        <v>8.7900000000000006E-2</v>
      </c>
      <c r="K25" s="79">
        <f t="shared" ref="K25:K28" si="24">J25</f>
        <v>8.7900000000000006E-2</v>
      </c>
      <c r="L25" s="79">
        <f t="shared" ref="L25:L28" si="25">K25</f>
        <v>8.7900000000000006E-2</v>
      </c>
      <c r="M25" s="79">
        <f t="shared" ref="M25:M28" si="26">L25</f>
        <v>8.7900000000000006E-2</v>
      </c>
    </row>
    <row r="26" spans="1:13" ht="16" x14ac:dyDescent="0.2">
      <c r="A26" s="77" t="s">
        <v>155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</row>
    <row r="27" spans="1:13" ht="16" x14ac:dyDescent="0.2">
      <c r="A27" s="279" t="s">
        <v>156</v>
      </c>
      <c r="B27" s="73">
        <v>0.186</v>
      </c>
      <c r="C27" s="73">
        <v>0.19900000000000001</v>
      </c>
      <c r="D27" s="73">
        <v>0.15329999999999999</v>
      </c>
      <c r="E27" s="73">
        <v>0.1565</v>
      </c>
      <c r="F27" s="73">
        <v>0.16950000000000001</v>
      </c>
      <c r="G27" s="74">
        <v>0.16</v>
      </c>
      <c r="H27" s="74">
        <f t="shared" si="21"/>
        <v>0.16</v>
      </c>
      <c r="I27" s="74">
        <f t="shared" si="22"/>
        <v>0.16</v>
      </c>
      <c r="J27" s="74">
        <f t="shared" si="23"/>
        <v>0.16</v>
      </c>
      <c r="K27" s="74">
        <f t="shared" si="24"/>
        <v>0.16</v>
      </c>
      <c r="L27" s="74">
        <f t="shared" si="25"/>
        <v>0.16</v>
      </c>
      <c r="M27" s="74">
        <f t="shared" si="26"/>
        <v>0.16</v>
      </c>
    </row>
    <row r="28" spans="1:13" ht="16" x14ac:dyDescent="0.2">
      <c r="A28" s="72" t="s">
        <v>157</v>
      </c>
      <c r="B28" s="75">
        <v>3.27E-2</v>
      </c>
      <c r="C28" s="74">
        <v>6.13E-2</v>
      </c>
      <c r="D28" s="74">
        <v>7.7299999999999994E-2</v>
      </c>
      <c r="E28" s="74">
        <v>7.9899999999999999E-2</v>
      </c>
      <c r="F28" s="74">
        <v>5.21E-2</v>
      </c>
      <c r="G28" s="74">
        <v>5.21E-2</v>
      </c>
      <c r="H28" s="74">
        <f t="shared" si="21"/>
        <v>5.21E-2</v>
      </c>
      <c r="I28" s="74">
        <f t="shared" si="22"/>
        <v>5.21E-2</v>
      </c>
      <c r="J28" s="74">
        <f t="shared" si="23"/>
        <v>5.21E-2</v>
      </c>
      <c r="K28" s="74">
        <f t="shared" si="24"/>
        <v>5.21E-2</v>
      </c>
      <c r="L28" s="74">
        <f t="shared" si="25"/>
        <v>5.21E-2</v>
      </c>
      <c r="M28" s="74">
        <f t="shared" si="26"/>
        <v>5.21E-2</v>
      </c>
    </row>
    <row r="29" spans="1:13" ht="16" x14ac:dyDescent="0.2">
      <c r="A29" s="72" t="s">
        <v>158</v>
      </c>
      <c r="B29" s="76">
        <v>0.02</v>
      </c>
      <c r="C29" s="76">
        <v>0.02</v>
      </c>
      <c r="D29" s="76">
        <v>0.02</v>
      </c>
      <c r="E29" s="76">
        <v>0.02</v>
      </c>
      <c r="F29" s="76">
        <v>0.02</v>
      </c>
      <c r="G29" s="74">
        <v>0.02</v>
      </c>
      <c r="H29" s="74">
        <f t="shared" ref="H29:M29" si="27">G29</f>
        <v>0.02</v>
      </c>
      <c r="I29" s="74">
        <f t="shared" si="27"/>
        <v>0.02</v>
      </c>
      <c r="J29" s="74">
        <f t="shared" si="27"/>
        <v>0.02</v>
      </c>
      <c r="K29" s="74">
        <f t="shared" si="27"/>
        <v>0.02</v>
      </c>
      <c r="L29" s="74">
        <f t="shared" si="27"/>
        <v>0.02</v>
      </c>
      <c r="M29" s="74">
        <f t="shared" si="27"/>
        <v>0.02</v>
      </c>
    </row>
    <row r="30" spans="1:13" ht="16" x14ac:dyDescent="0.2">
      <c r="A30" s="72" t="s">
        <v>159</v>
      </c>
      <c r="B30" s="74">
        <f t="shared" ref="B30:G30" si="28">B27-B29-B28</f>
        <v>0.1333</v>
      </c>
      <c r="C30" s="74">
        <f t="shared" si="28"/>
        <v>0.11770000000000003</v>
      </c>
      <c r="D30" s="74">
        <f t="shared" si="28"/>
        <v>5.6000000000000008E-2</v>
      </c>
      <c r="E30" s="74">
        <f t="shared" si="28"/>
        <v>5.6600000000000011E-2</v>
      </c>
      <c r="F30" s="74">
        <f t="shared" si="28"/>
        <v>9.7400000000000014E-2</v>
      </c>
      <c r="G30" s="74">
        <f t="shared" si="28"/>
        <v>8.7900000000000006E-2</v>
      </c>
      <c r="H30" s="74">
        <f t="shared" ref="H30" si="29">G30</f>
        <v>8.7900000000000006E-2</v>
      </c>
      <c r="I30" s="74">
        <f t="shared" ref="I30" si="30">H30</f>
        <v>8.7900000000000006E-2</v>
      </c>
      <c r="J30" s="74">
        <f t="shared" ref="J30" si="31">I30</f>
        <v>8.7900000000000006E-2</v>
      </c>
      <c r="K30" s="74">
        <f t="shared" ref="K30" si="32">J30</f>
        <v>8.7900000000000006E-2</v>
      </c>
      <c r="L30" s="74">
        <f t="shared" ref="L30" si="33">K30</f>
        <v>8.7900000000000006E-2</v>
      </c>
      <c r="M30" s="74">
        <f t="shared" ref="M30" si="34">L30</f>
        <v>8.7900000000000006E-2</v>
      </c>
    </row>
    <row r="31" spans="1:13" ht="16" x14ac:dyDescent="0.2">
      <c r="A31" s="72" t="s">
        <v>160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</row>
    <row r="33" spans="1:13" x14ac:dyDescent="0.2">
      <c r="A33" s="291" t="s">
        <v>161</v>
      </c>
      <c r="B33" s="82">
        <v>45767</v>
      </c>
      <c r="C33" s="82">
        <v>45797</v>
      </c>
      <c r="D33" s="82">
        <v>45828</v>
      </c>
      <c r="E33" s="82">
        <v>45858</v>
      </c>
      <c r="F33" s="82">
        <v>45889</v>
      </c>
      <c r="G33" s="82">
        <v>45920</v>
      </c>
      <c r="H33" s="82">
        <v>45950</v>
      </c>
      <c r="I33" s="82">
        <v>45981</v>
      </c>
      <c r="J33" s="82">
        <v>46011</v>
      </c>
      <c r="K33" s="82">
        <v>46042</v>
      </c>
      <c r="L33" s="82">
        <v>46073</v>
      </c>
      <c r="M33" s="82">
        <v>46101</v>
      </c>
    </row>
    <row r="34" spans="1:13" ht="16" x14ac:dyDescent="0.2">
      <c r="A34" s="275" t="s">
        <v>162</v>
      </c>
      <c r="B34" s="57"/>
      <c r="C34" s="57"/>
      <c r="D34" s="57"/>
      <c r="E34" s="57"/>
      <c r="F34" s="57"/>
      <c r="G34" s="58"/>
      <c r="H34" s="58"/>
      <c r="I34" s="58"/>
      <c r="J34" s="58"/>
      <c r="K34" s="58"/>
      <c r="L34" s="58"/>
      <c r="M34" s="58"/>
    </row>
    <row r="35" spans="1:13" ht="16" x14ac:dyDescent="0.2">
      <c r="A35" s="275" t="s">
        <v>163</v>
      </c>
      <c r="B35" s="57"/>
      <c r="C35" s="57"/>
      <c r="D35" s="57"/>
      <c r="E35" s="57"/>
      <c r="F35" s="57"/>
      <c r="G35" s="58"/>
      <c r="H35" s="58"/>
      <c r="I35" s="58"/>
      <c r="J35" s="58"/>
      <c r="K35" s="58"/>
      <c r="L35" s="58"/>
      <c r="M35" s="58"/>
    </row>
    <row r="36" spans="1:13" ht="16" x14ac:dyDescent="0.2">
      <c r="A36" s="275" t="s">
        <v>164</v>
      </c>
      <c r="B36" s="57"/>
      <c r="C36" s="57"/>
      <c r="D36" s="57"/>
      <c r="E36" s="57"/>
      <c r="F36" s="57"/>
      <c r="G36" s="58"/>
      <c r="H36" s="58"/>
      <c r="I36" s="58"/>
      <c r="J36" s="58"/>
      <c r="K36" s="58"/>
      <c r="L36" s="58"/>
      <c r="M36" s="58"/>
    </row>
    <row r="37" spans="1:13" ht="34" x14ac:dyDescent="0.2">
      <c r="A37" s="290" t="s">
        <v>165</v>
      </c>
      <c r="B37" s="57"/>
      <c r="C37" s="57"/>
      <c r="D37" s="57"/>
      <c r="E37" s="57"/>
      <c r="F37" s="57"/>
      <c r="G37" s="58"/>
      <c r="H37" s="58"/>
      <c r="I37" s="58"/>
      <c r="J37" s="58"/>
      <c r="K37" s="58"/>
      <c r="L37" s="58"/>
      <c r="M37" s="58"/>
    </row>
    <row r="38" spans="1:13" ht="34" x14ac:dyDescent="0.2">
      <c r="A38" s="290" t="s">
        <v>166</v>
      </c>
      <c r="B38" s="57"/>
      <c r="C38" s="57"/>
      <c r="D38" s="57"/>
      <c r="E38" s="57"/>
      <c r="F38" s="57"/>
      <c r="G38" s="58"/>
      <c r="H38" s="58"/>
      <c r="I38" s="58"/>
      <c r="J38" s="58"/>
      <c r="K38" s="58"/>
      <c r="L38" s="58"/>
      <c r="M38" s="58"/>
    </row>
    <row r="39" spans="1:13" ht="34" x14ac:dyDescent="0.2">
      <c r="A39" s="290" t="s">
        <v>167</v>
      </c>
      <c r="B39" s="57"/>
      <c r="C39" s="57"/>
      <c r="D39" s="57"/>
      <c r="E39" s="57"/>
      <c r="F39" s="57"/>
      <c r="G39" s="58"/>
      <c r="H39" s="58"/>
      <c r="I39" s="58"/>
      <c r="J39" s="58"/>
      <c r="K39" s="58"/>
      <c r="L39" s="58"/>
      <c r="M39" s="58"/>
    </row>
    <row r="40" spans="1:13" ht="16" x14ac:dyDescent="0.2">
      <c r="A40" s="275" t="s">
        <v>168</v>
      </c>
      <c r="B40" s="57"/>
      <c r="C40" s="57"/>
      <c r="D40" s="57"/>
      <c r="E40" s="57"/>
      <c r="F40" s="57"/>
      <c r="G40" s="58"/>
      <c r="H40" s="58"/>
      <c r="I40" s="58"/>
      <c r="J40" s="58"/>
      <c r="K40" s="58"/>
      <c r="L40" s="58"/>
      <c r="M40" s="58"/>
    </row>
    <row r="41" spans="1:13" ht="16" x14ac:dyDescent="0.2">
      <c r="A41" s="275" t="s">
        <v>169</v>
      </c>
      <c r="B41" s="57"/>
      <c r="C41" s="57"/>
      <c r="D41" s="57"/>
      <c r="E41" s="57"/>
      <c r="F41" s="57"/>
      <c r="G41" s="58"/>
      <c r="H41" s="58"/>
      <c r="I41" s="58"/>
      <c r="J41" s="58"/>
      <c r="K41" s="58"/>
      <c r="L41" s="58"/>
      <c r="M41" s="58"/>
    </row>
    <row r="42" spans="1:13" ht="34" x14ac:dyDescent="0.2">
      <c r="A42" s="290" t="s">
        <v>170</v>
      </c>
      <c r="B42" s="57"/>
      <c r="C42" s="57"/>
      <c r="D42" s="57"/>
      <c r="E42" s="57"/>
      <c r="F42" s="57"/>
      <c r="G42" s="58"/>
      <c r="H42" s="58"/>
      <c r="I42" s="58"/>
      <c r="J42" s="58"/>
      <c r="K42" s="58"/>
      <c r="L42" s="58"/>
      <c r="M42" s="58"/>
    </row>
    <row r="43" spans="1:13" ht="34" x14ac:dyDescent="0.2">
      <c r="A43" s="290" t="s">
        <v>171</v>
      </c>
      <c r="B43" s="57"/>
      <c r="C43" s="57"/>
      <c r="D43" s="57"/>
      <c r="E43" s="57"/>
      <c r="F43" s="57"/>
      <c r="G43" s="58"/>
      <c r="H43" s="58"/>
      <c r="I43" s="58"/>
      <c r="J43" s="58"/>
      <c r="K43" s="58"/>
      <c r="L43" s="58"/>
      <c r="M43" s="58"/>
    </row>
    <row r="44" spans="1:13" ht="34" x14ac:dyDescent="0.2">
      <c r="A44" s="290" t="s">
        <v>172</v>
      </c>
      <c r="B44" s="57"/>
      <c r="C44" s="57"/>
      <c r="D44" s="57"/>
      <c r="E44" s="57"/>
      <c r="F44" s="57"/>
      <c r="G44" s="58"/>
      <c r="H44" s="58"/>
      <c r="I44" s="58"/>
      <c r="J44" s="58"/>
      <c r="K44" s="58"/>
      <c r="L44" s="58"/>
      <c r="M44" s="58"/>
    </row>
    <row r="45" spans="1:13" ht="16" x14ac:dyDescent="0.2">
      <c r="A45" s="275" t="s">
        <v>173</v>
      </c>
      <c r="B45" s="57"/>
      <c r="C45" s="57"/>
      <c r="D45" s="57"/>
      <c r="E45" s="57"/>
      <c r="F45" s="57"/>
      <c r="G45" s="58"/>
      <c r="H45" s="58"/>
      <c r="I45" s="58"/>
      <c r="J45" s="58"/>
      <c r="K45" s="58"/>
      <c r="L45" s="58"/>
      <c r="M45" s="58"/>
    </row>
    <row r="46" spans="1:13" ht="34" x14ac:dyDescent="0.2">
      <c r="A46" s="290" t="s">
        <v>174</v>
      </c>
      <c r="B46" s="57"/>
      <c r="C46" s="57"/>
      <c r="D46" s="57"/>
      <c r="E46" s="57"/>
      <c r="F46" s="57"/>
      <c r="G46" s="58"/>
      <c r="H46" s="58"/>
      <c r="I46" s="58"/>
      <c r="J46" s="58"/>
      <c r="K46" s="58"/>
      <c r="L46" s="58"/>
      <c r="M46" s="58"/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F9E3-1FD9-46F4-B5D9-E5183AADF175}">
  <sheetPr>
    <tabColor rgb="FF00B050"/>
    <pageSetUpPr fitToPage="1"/>
  </sheetPr>
  <dimension ref="A1:BJ36"/>
  <sheetViews>
    <sheetView view="pageBreakPreview" zoomScaleNormal="90" zoomScaleSheetLayoutView="100" workbookViewId="0">
      <pane xSplit="5" ySplit="4" topLeftCell="BI5" activePane="bottomRight" state="frozen"/>
      <selection pane="topRight" sqref="A1:XFD1048576"/>
      <selection pane="bottomLeft" sqref="A1:XFD1048576"/>
      <selection pane="bottomRight" activeCell="D5" sqref="D5"/>
    </sheetView>
  </sheetViews>
  <sheetFormatPr baseColWidth="10" defaultColWidth="0" defaultRowHeight="15" x14ac:dyDescent="0.2"/>
  <cols>
    <col min="1" max="1" width="2.1640625" style="31" customWidth="1"/>
    <col min="2" max="2" width="12" style="31" customWidth="1"/>
    <col min="3" max="3" width="1.5" style="31" customWidth="1"/>
    <col min="4" max="4" width="38.33203125" style="83" customWidth="1"/>
    <col min="5" max="5" width="18.83203125" style="84" customWidth="1"/>
    <col min="6" max="6" width="7.33203125" style="31" hidden="1" customWidth="1"/>
    <col min="7" max="21" width="8.1640625" style="31" hidden="1" customWidth="1"/>
    <col min="22" max="24" width="8.33203125" style="31" hidden="1" customWidth="1"/>
    <col min="25" max="25" width="8.33203125" style="31" hidden="1" customWidth="1" collapsed="1"/>
    <col min="26" max="26" width="8.33203125" style="31" hidden="1" customWidth="1"/>
    <col min="27" max="27" width="8.33203125" style="31" bestFit="1" customWidth="1"/>
    <col min="28" max="28" width="9" style="31" bestFit="1" customWidth="1"/>
    <col min="29" max="32" width="8.33203125" style="31" bestFit="1" customWidth="1"/>
    <col min="33" max="33" width="8.1640625" style="31" bestFit="1" customWidth="1"/>
    <col min="34" max="36" width="6.1640625" style="31" bestFit="1" customWidth="1"/>
    <col min="37" max="37" width="5.5" style="31" bestFit="1" customWidth="1"/>
    <col min="38" max="40" width="6.1640625" style="31" bestFit="1" customWidth="1"/>
    <col min="41" max="41" width="5.33203125" style="31" hidden="1" customWidth="1"/>
    <col min="42" max="42" width="8.1640625" style="31" bestFit="1" customWidth="1"/>
    <col min="43" max="43" width="10" style="31" hidden="1" customWidth="1"/>
    <col min="44" max="45" width="10" style="31" bestFit="1" customWidth="1"/>
    <col min="46" max="46" width="1.5" style="31" customWidth="1" collapsed="1"/>
    <col min="47" max="50" width="8.1640625" style="31" hidden="1" customWidth="1"/>
    <col min="51" max="51" width="1.5" style="31" hidden="1" customWidth="1"/>
    <col min="52" max="55" width="8.1640625" style="31" hidden="1" customWidth="1"/>
    <col min="56" max="56" width="1.5" style="31" hidden="1" customWidth="1"/>
    <col min="57" max="57" width="8.1640625" style="31" hidden="1" customWidth="1" collapsed="1"/>
    <col min="58" max="59" width="8.5" style="31" hidden="1" customWidth="1"/>
    <col min="60" max="60" width="7.5" style="31" hidden="1" customWidth="1"/>
    <col min="61" max="61" width="8.83203125" style="31" customWidth="1"/>
    <col min="62" max="62" width="0" style="31" hidden="1" customWidth="1"/>
    <col min="63" max="16384" width="9.1640625" style="31" hidden="1"/>
  </cols>
  <sheetData>
    <row r="1" spans="2:60" x14ac:dyDescent="0.2">
      <c r="AB1" s="85"/>
    </row>
    <row r="2" spans="2:60" x14ac:dyDescent="0.2">
      <c r="AB2" s="85"/>
    </row>
    <row r="3" spans="2:60" x14ac:dyDescent="0.2">
      <c r="AU3" s="86"/>
      <c r="AV3" s="86"/>
      <c r="AW3" s="86"/>
      <c r="AX3" s="86"/>
      <c r="AZ3" s="86"/>
      <c r="BA3" s="86"/>
      <c r="BB3" s="86"/>
      <c r="BC3" s="86"/>
      <c r="BE3" s="87">
        <v>45352</v>
      </c>
      <c r="BF3" s="87">
        <v>45444</v>
      </c>
      <c r="BG3" s="87">
        <v>45536</v>
      </c>
      <c r="BH3" s="87">
        <v>45597</v>
      </c>
    </row>
    <row r="4" spans="2:60" x14ac:dyDescent="0.2">
      <c r="D4" s="88"/>
      <c r="E4" s="89"/>
      <c r="F4" s="90">
        <v>44562</v>
      </c>
      <c r="G4" s="90">
        <v>44593</v>
      </c>
      <c r="H4" s="90">
        <v>44621</v>
      </c>
      <c r="I4" s="90">
        <v>44652</v>
      </c>
      <c r="J4" s="90">
        <v>44682</v>
      </c>
      <c r="K4" s="90">
        <v>44713</v>
      </c>
      <c r="L4" s="90">
        <v>44743</v>
      </c>
      <c r="M4" s="90">
        <v>44774</v>
      </c>
      <c r="N4" s="90">
        <v>44805</v>
      </c>
      <c r="O4" s="90">
        <v>44835</v>
      </c>
      <c r="P4" s="90">
        <v>44866</v>
      </c>
      <c r="Q4" s="90">
        <v>44896</v>
      </c>
      <c r="R4" s="90">
        <v>44927</v>
      </c>
      <c r="S4" s="90">
        <v>44958</v>
      </c>
      <c r="T4" s="90">
        <v>44986</v>
      </c>
      <c r="U4" s="90">
        <v>45017</v>
      </c>
      <c r="V4" s="90">
        <v>45047</v>
      </c>
      <c r="W4" s="90">
        <v>45078</v>
      </c>
      <c r="X4" s="90">
        <v>45108</v>
      </c>
      <c r="Y4" s="90">
        <v>45139</v>
      </c>
      <c r="Z4" s="90">
        <v>45170</v>
      </c>
      <c r="AA4" s="90">
        <v>45200</v>
      </c>
      <c r="AB4" s="90">
        <v>45231</v>
      </c>
      <c r="AC4" s="90">
        <v>45261</v>
      </c>
      <c r="AD4" s="90">
        <v>45292</v>
      </c>
      <c r="AE4" s="90">
        <v>45323</v>
      </c>
      <c r="AF4" s="90">
        <v>45352</v>
      </c>
      <c r="AG4" s="90">
        <v>45383</v>
      </c>
      <c r="AH4" s="90">
        <v>45413</v>
      </c>
      <c r="AI4" s="90">
        <v>45444</v>
      </c>
      <c r="AJ4" s="90">
        <v>45474</v>
      </c>
      <c r="AK4" s="90">
        <v>45505</v>
      </c>
      <c r="AL4" s="90">
        <v>45536</v>
      </c>
      <c r="AM4" s="90">
        <v>45566</v>
      </c>
      <c r="AN4" s="90">
        <v>45597</v>
      </c>
      <c r="AO4" s="90">
        <v>45627</v>
      </c>
      <c r="AP4" s="90" t="s">
        <v>175</v>
      </c>
      <c r="AQ4" s="90" t="s">
        <v>176</v>
      </c>
      <c r="AR4" s="90" t="s">
        <v>177</v>
      </c>
      <c r="AS4" s="90" t="s">
        <v>178</v>
      </c>
      <c r="AT4" s="90"/>
      <c r="AU4" s="90" t="s">
        <v>179</v>
      </c>
      <c r="AV4" s="90" t="s">
        <v>180</v>
      </c>
      <c r="AW4" s="90" t="s">
        <v>181</v>
      </c>
      <c r="AX4" s="90" t="s">
        <v>182</v>
      </c>
      <c r="AY4" s="90"/>
      <c r="AZ4" s="90" t="s">
        <v>183</v>
      </c>
      <c r="BA4" s="90" t="s">
        <v>184</v>
      </c>
      <c r="BB4" s="90" t="s">
        <v>185</v>
      </c>
      <c r="BC4" s="90" t="s">
        <v>186</v>
      </c>
      <c r="BD4" s="90"/>
      <c r="BE4" s="90" t="s">
        <v>187</v>
      </c>
      <c r="BF4" s="90" t="s">
        <v>188</v>
      </c>
      <c r="BG4" s="90" t="s">
        <v>189</v>
      </c>
      <c r="BH4" s="91" t="s">
        <v>190</v>
      </c>
    </row>
    <row r="5" spans="2:60" ht="16" thickBot="1" x14ac:dyDescent="0.25">
      <c r="D5" s="92" t="s">
        <v>191</v>
      </c>
      <c r="E5" s="93"/>
      <c r="F5" s="90">
        <v>44562</v>
      </c>
      <c r="G5" s="90">
        <v>44593</v>
      </c>
      <c r="H5" s="90">
        <v>44621</v>
      </c>
      <c r="I5" s="90">
        <v>44652</v>
      </c>
      <c r="J5" s="90">
        <v>44682</v>
      </c>
      <c r="K5" s="90">
        <v>44713</v>
      </c>
      <c r="L5" s="90">
        <v>44743</v>
      </c>
      <c r="M5" s="90">
        <v>44774</v>
      </c>
      <c r="N5" s="90">
        <v>44805</v>
      </c>
      <c r="O5" s="90">
        <v>44835</v>
      </c>
      <c r="P5" s="90">
        <v>44866</v>
      </c>
      <c r="Q5" s="90">
        <v>44896</v>
      </c>
      <c r="R5" s="90">
        <v>44927</v>
      </c>
      <c r="S5" s="90">
        <v>44958</v>
      </c>
      <c r="T5" s="90">
        <v>44986</v>
      </c>
      <c r="U5" s="90">
        <v>45017</v>
      </c>
      <c r="V5" s="90">
        <v>45047</v>
      </c>
      <c r="W5" s="90">
        <v>45078</v>
      </c>
      <c r="X5" s="90">
        <v>45108</v>
      </c>
      <c r="Y5" s="90">
        <v>45139</v>
      </c>
      <c r="Z5" s="90">
        <v>45170</v>
      </c>
      <c r="AA5" s="90">
        <v>45200</v>
      </c>
      <c r="AB5" s="90">
        <v>45231</v>
      </c>
      <c r="AC5" s="90">
        <v>45261</v>
      </c>
      <c r="AD5" s="90">
        <v>45292</v>
      </c>
      <c r="AE5" s="90">
        <v>45323</v>
      </c>
      <c r="AF5" s="90">
        <v>45352</v>
      </c>
      <c r="AG5" s="90">
        <v>45383</v>
      </c>
      <c r="AH5" s="90">
        <v>45413</v>
      </c>
      <c r="AI5" s="90">
        <v>45444</v>
      </c>
      <c r="AJ5" s="90">
        <v>45474</v>
      </c>
      <c r="AK5" s="90">
        <v>45505</v>
      </c>
      <c r="AL5" s="90">
        <v>45536</v>
      </c>
      <c r="AM5" s="90">
        <v>45566</v>
      </c>
      <c r="AN5" s="90">
        <v>45597</v>
      </c>
      <c r="AO5" s="90">
        <v>45627</v>
      </c>
      <c r="AP5" s="91" t="s">
        <v>175</v>
      </c>
      <c r="AQ5" s="91" t="s">
        <v>176</v>
      </c>
      <c r="AR5" s="91" t="s">
        <v>177</v>
      </c>
      <c r="AS5" s="91" t="s">
        <v>178</v>
      </c>
      <c r="AT5" s="94"/>
      <c r="AU5" s="91" t="s">
        <v>179</v>
      </c>
      <c r="AV5" s="91" t="s">
        <v>180</v>
      </c>
      <c r="AW5" s="91" t="s">
        <v>181</v>
      </c>
      <c r="AX5" s="91" t="s">
        <v>182</v>
      </c>
      <c r="AY5" s="94"/>
      <c r="AZ5" s="91" t="s">
        <v>183</v>
      </c>
      <c r="BA5" s="91" t="s">
        <v>184</v>
      </c>
      <c r="BB5" s="91" t="s">
        <v>185</v>
      </c>
      <c r="BC5" s="91" t="s">
        <v>186</v>
      </c>
      <c r="BD5" s="94"/>
      <c r="BE5" s="91" t="s">
        <v>187</v>
      </c>
      <c r="BF5" s="91" t="s">
        <v>188</v>
      </c>
      <c r="BG5" s="91" t="s">
        <v>189</v>
      </c>
      <c r="BH5" s="91" t="s">
        <v>190</v>
      </c>
    </row>
    <row r="6" spans="2:60" x14ac:dyDescent="0.2">
      <c r="B6" s="344" t="s">
        <v>122</v>
      </c>
      <c r="D6" s="345" t="s">
        <v>192</v>
      </c>
      <c r="E6" s="95" t="s">
        <v>193</v>
      </c>
      <c r="F6" s="96">
        <v>0</v>
      </c>
      <c r="G6" s="96">
        <v>0</v>
      </c>
      <c r="H6" s="96">
        <v>0</v>
      </c>
      <c r="I6" s="96">
        <v>0</v>
      </c>
      <c r="J6" s="96">
        <v>0</v>
      </c>
      <c r="K6" s="96">
        <v>0</v>
      </c>
      <c r="L6" s="96">
        <v>0</v>
      </c>
      <c r="M6" s="96">
        <v>0</v>
      </c>
      <c r="N6" s="96">
        <v>0</v>
      </c>
      <c r="O6" s="96">
        <v>0</v>
      </c>
      <c r="P6" s="96">
        <v>0</v>
      </c>
      <c r="Q6" s="96">
        <v>0</v>
      </c>
      <c r="R6" s="97">
        <v>117</v>
      </c>
      <c r="S6" s="97">
        <v>95</v>
      </c>
      <c r="T6" s="97">
        <v>224</v>
      </c>
      <c r="U6" s="97">
        <v>211</v>
      </c>
      <c r="V6" s="97">
        <v>61</v>
      </c>
      <c r="W6" s="97">
        <v>106</v>
      </c>
      <c r="X6" s="97">
        <v>69</v>
      </c>
      <c r="Y6" s="97">
        <v>78</v>
      </c>
      <c r="Z6" s="97">
        <v>84</v>
      </c>
      <c r="AA6" s="97">
        <v>64</v>
      </c>
      <c r="AB6" s="97">
        <v>86</v>
      </c>
      <c r="AC6" s="97">
        <v>108</v>
      </c>
      <c r="AD6" s="97">
        <v>80</v>
      </c>
      <c r="AE6" s="97">
        <v>81</v>
      </c>
      <c r="AF6" s="97">
        <v>86</v>
      </c>
      <c r="AG6" s="97">
        <v>69</v>
      </c>
      <c r="AH6" s="97">
        <v>90</v>
      </c>
      <c r="AI6" s="97">
        <v>92</v>
      </c>
      <c r="AJ6" s="97">
        <v>92</v>
      </c>
      <c r="AK6" s="97">
        <v>112</v>
      </c>
      <c r="AL6" s="97">
        <v>137</v>
      </c>
      <c r="AM6" s="97">
        <v>102</v>
      </c>
      <c r="AN6" s="97">
        <v>123</v>
      </c>
      <c r="AO6" s="97">
        <v>0</v>
      </c>
      <c r="AP6" s="98">
        <v>21</v>
      </c>
      <c r="AQ6" s="98">
        <v>0</v>
      </c>
      <c r="AR6" s="98">
        <v>108.58333333333333</v>
      </c>
      <c r="AS6" s="99">
        <v>88.666666666666671</v>
      </c>
      <c r="AT6" s="7"/>
      <c r="AU6" s="100">
        <v>0</v>
      </c>
      <c r="AV6" s="101">
        <v>0</v>
      </c>
      <c r="AW6" s="101">
        <v>0</v>
      </c>
      <c r="AX6" s="101">
        <v>0</v>
      </c>
      <c r="AY6" s="7"/>
      <c r="AZ6" s="100">
        <v>436</v>
      </c>
      <c r="BA6" s="101">
        <v>378</v>
      </c>
      <c r="BB6" s="101">
        <v>231</v>
      </c>
      <c r="BC6" s="101">
        <v>258</v>
      </c>
      <c r="BD6" s="7"/>
      <c r="BE6" s="100">
        <v>247</v>
      </c>
      <c r="BF6" s="101">
        <v>251</v>
      </c>
      <c r="BG6" s="101">
        <v>341</v>
      </c>
      <c r="BH6" s="101">
        <v>225</v>
      </c>
    </row>
    <row r="7" spans="2:60" ht="16" thickBot="1" x14ac:dyDescent="0.25">
      <c r="B7" s="344"/>
      <c r="D7" s="346"/>
      <c r="E7" s="102" t="s">
        <v>194</v>
      </c>
      <c r="F7" s="103">
        <v>0</v>
      </c>
      <c r="G7" s="103">
        <v>0</v>
      </c>
      <c r="H7" s="103">
        <v>0</v>
      </c>
      <c r="I7" s="103">
        <v>0</v>
      </c>
      <c r="J7" s="103">
        <v>0</v>
      </c>
      <c r="K7" s="103">
        <v>0</v>
      </c>
      <c r="L7" s="103">
        <v>0</v>
      </c>
      <c r="M7" s="103">
        <v>0</v>
      </c>
      <c r="N7" s="103">
        <v>0</v>
      </c>
      <c r="O7" s="103">
        <v>0</v>
      </c>
      <c r="P7" s="103">
        <v>0</v>
      </c>
      <c r="Q7" s="103">
        <v>0</v>
      </c>
      <c r="R7" s="104">
        <v>159.79857837999995</v>
      </c>
      <c r="S7" s="104">
        <v>158.60331555000002</v>
      </c>
      <c r="T7" s="104">
        <v>424.96174491999994</v>
      </c>
      <c r="U7" s="104">
        <v>316.82407038999992</v>
      </c>
      <c r="V7" s="104">
        <v>56.792887950000001</v>
      </c>
      <c r="W7" s="104">
        <v>107.31243282</v>
      </c>
      <c r="X7" s="104">
        <v>87.80152302999997</v>
      </c>
      <c r="Y7" s="104">
        <v>72.112601970000014</v>
      </c>
      <c r="Z7" s="104">
        <v>73.081777650000006</v>
      </c>
      <c r="AA7" s="104">
        <v>66.133629190000008</v>
      </c>
      <c r="AB7" s="104">
        <v>55.154712600000003</v>
      </c>
      <c r="AC7" s="104">
        <v>122.55778208999996</v>
      </c>
      <c r="AD7" s="104">
        <v>87.167107970000004</v>
      </c>
      <c r="AE7" s="104">
        <v>85.927031819999996</v>
      </c>
      <c r="AF7" s="104">
        <v>117.97984374999997</v>
      </c>
      <c r="AG7" s="104">
        <v>96.649182999999979</v>
      </c>
      <c r="AH7" s="104">
        <v>159.70586649999998</v>
      </c>
      <c r="AI7" s="104">
        <v>125.61288012999999</v>
      </c>
      <c r="AJ7" s="104">
        <v>108.53882274999998</v>
      </c>
      <c r="AK7" s="104">
        <v>76.43024173000002</v>
      </c>
      <c r="AL7" s="104">
        <v>157.26880117000002</v>
      </c>
      <c r="AM7" s="104">
        <v>174.55262271000001</v>
      </c>
      <c r="AN7" s="104">
        <v>159.81790393999998</v>
      </c>
      <c r="AO7" s="104">
        <v>0</v>
      </c>
      <c r="AP7" s="105">
        <v>-14.734718770000029</v>
      </c>
      <c r="AQ7" s="105">
        <v>0</v>
      </c>
      <c r="AR7" s="105">
        <v>141.76125471166665</v>
      </c>
      <c r="AS7" s="106">
        <v>112.47085878916666</v>
      </c>
      <c r="AT7"/>
      <c r="AU7" s="107">
        <v>0</v>
      </c>
      <c r="AV7" s="108">
        <v>0</v>
      </c>
      <c r="AW7" s="108">
        <v>0</v>
      </c>
      <c r="AX7" s="108">
        <v>0</v>
      </c>
      <c r="AY7"/>
      <c r="AZ7" s="107">
        <v>743.36363884999992</v>
      </c>
      <c r="BA7" s="108">
        <v>480.92939115999991</v>
      </c>
      <c r="BB7" s="108">
        <v>232.99590265</v>
      </c>
      <c r="BC7" s="108">
        <v>243.84612387999996</v>
      </c>
      <c r="BD7"/>
      <c r="BE7" s="107">
        <v>291.07398353999997</v>
      </c>
      <c r="BF7" s="108">
        <v>381.96792962999996</v>
      </c>
      <c r="BG7" s="108">
        <v>342.23786565</v>
      </c>
      <c r="BH7" s="108">
        <v>334.37052664999999</v>
      </c>
    </row>
    <row r="8" spans="2:60" x14ac:dyDescent="0.2">
      <c r="B8" s="344"/>
      <c r="D8" s="347" t="s">
        <v>25</v>
      </c>
      <c r="E8" s="95" t="s">
        <v>193</v>
      </c>
      <c r="F8" s="96">
        <v>0</v>
      </c>
      <c r="G8" s="96">
        <v>0</v>
      </c>
      <c r="H8" s="96">
        <v>0</v>
      </c>
      <c r="I8" s="96">
        <v>0</v>
      </c>
      <c r="J8" s="96">
        <v>0</v>
      </c>
      <c r="K8" s="96">
        <v>0</v>
      </c>
      <c r="L8" s="96">
        <v>0</v>
      </c>
      <c r="M8" s="96">
        <v>0</v>
      </c>
      <c r="N8" s="96">
        <v>0</v>
      </c>
      <c r="O8" s="96">
        <v>0</v>
      </c>
      <c r="P8" s="96">
        <v>0</v>
      </c>
      <c r="Q8" s="96">
        <v>0</v>
      </c>
      <c r="R8" s="97">
        <v>563</v>
      </c>
      <c r="S8" s="97">
        <v>579</v>
      </c>
      <c r="T8" s="97">
        <v>607</v>
      </c>
      <c r="U8" s="97">
        <v>503</v>
      </c>
      <c r="V8" s="97">
        <v>430</v>
      </c>
      <c r="W8" s="97">
        <v>520</v>
      </c>
      <c r="X8" s="97">
        <v>709</v>
      </c>
      <c r="Y8" s="97">
        <v>668</v>
      </c>
      <c r="Z8" s="97">
        <v>825</v>
      </c>
      <c r="AA8" s="97">
        <v>903</v>
      </c>
      <c r="AB8" s="97">
        <v>916</v>
      </c>
      <c r="AC8" s="97">
        <v>1043</v>
      </c>
      <c r="AD8" s="97">
        <v>663</v>
      </c>
      <c r="AE8" s="97">
        <v>528</v>
      </c>
      <c r="AF8" s="97">
        <v>508</v>
      </c>
      <c r="AG8" s="97">
        <v>439</v>
      </c>
      <c r="AH8" s="97">
        <v>389</v>
      </c>
      <c r="AI8" s="97">
        <v>310</v>
      </c>
      <c r="AJ8" s="97">
        <v>357</v>
      </c>
      <c r="AK8" s="97">
        <v>268</v>
      </c>
      <c r="AL8" s="97">
        <v>304</v>
      </c>
      <c r="AM8" s="97">
        <v>313</v>
      </c>
      <c r="AN8" s="97">
        <v>197</v>
      </c>
      <c r="AO8" s="97">
        <v>0</v>
      </c>
      <c r="AP8" s="98">
        <v>-116</v>
      </c>
      <c r="AQ8" s="98">
        <v>0</v>
      </c>
      <c r="AR8" s="98">
        <v>688.83333333333337</v>
      </c>
      <c r="AS8" s="99">
        <v>356.33333333333331</v>
      </c>
      <c r="AT8" s="7"/>
      <c r="AU8" s="100">
        <v>0</v>
      </c>
      <c r="AV8" s="101">
        <v>0</v>
      </c>
      <c r="AW8" s="101">
        <v>0</v>
      </c>
      <c r="AX8" s="101">
        <v>0</v>
      </c>
      <c r="AY8" s="7"/>
      <c r="AZ8" s="100">
        <v>1749</v>
      </c>
      <c r="BA8" s="101">
        <v>1453</v>
      </c>
      <c r="BB8" s="101">
        <v>2202</v>
      </c>
      <c r="BC8" s="101">
        <v>2862</v>
      </c>
      <c r="BD8" s="7"/>
      <c r="BE8" s="100">
        <v>1699</v>
      </c>
      <c r="BF8" s="101">
        <v>1138</v>
      </c>
      <c r="BG8" s="101">
        <v>929</v>
      </c>
      <c r="BH8" s="101">
        <v>510</v>
      </c>
    </row>
    <row r="9" spans="2:60" ht="16" thickBot="1" x14ac:dyDescent="0.25">
      <c r="B9" s="344"/>
      <c r="D9" s="346"/>
      <c r="E9" s="102" t="s">
        <v>194</v>
      </c>
      <c r="F9" s="103">
        <v>0</v>
      </c>
      <c r="G9" s="103">
        <v>0</v>
      </c>
      <c r="H9" s="103">
        <v>0</v>
      </c>
      <c r="I9" s="103">
        <v>0</v>
      </c>
      <c r="J9" s="103">
        <v>0</v>
      </c>
      <c r="K9" s="103">
        <v>0</v>
      </c>
      <c r="L9" s="103">
        <v>0</v>
      </c>
      <c r="M9" s="103">
        <v>0</v>
      </c>
      <c r="N9" s="103">
        <v>0</v>
      </c>
      <c r="O9" s="103">
        <v>0</v>
      </c>
      <c r="P9" s="103">
        <v>0</v>
      </c>
      <c r="Q9" s="103">
        <v>0</v>
      </c>
      <c r="R9" s="104">
        <v>5.3194432599999999</v>
      </c>
      <c r="S9" s="104">
        <v>4.5891178599999982</v>
      </c>
      <c r="T9" s="104">
        <v>5.4478890800000013</v>
      </c>
      <c r="U9" s="104">
        <v>4.8732810699999973</v>
      </c>
      <c r="V9" s="104">
        <v>3.8922767700000014</v>
      </c>
      <c r="W9" s="104">
        <v>5.0142540099999984</v>
      </c>
      <c r="X9" s="104">
        <v>7.2831352900000041</v>
      </c>
      <c r="Y9" s="104">
        <v>8.2163357799999979</v>
      </c>
      <c r="Z9" s="104">
        <v>11.592510019999978</v>
      </c>
      <c r="AA9" s="104">
        <v>13.947750259999999</v>
      </c>
      <c r="AB9" s="104">
        <v>21.261881720000044</v>
      </c>
      <c r="AC9" s="104">
        <v>32.678847569999967</v>
      </c>
      <c r="AD9" s="104">
        <v>13.655295089999996</v>
      </c>
      <c r="AE9" s="104">
        <v>7.1840338599999978</v>
      </c>
      <c r="AF9" s="104">
        <v>8.3163772099999989</v>
      </c>
      <c r="AG9" s="104">
        <v>6.5174209099999985</v>
      </c>
      <c r="AH9" s="104">
        <v>5.9881281299999989</v>
      </c>
      <c r="AI9" s="104">
        <v>4.6744114100000038</v>
      </c>
      <c r="AJ9" s="104">
        <v>5.0676060999999972</v>
      </c>
      <c r="AK9" s="104">
        <v>3.4277774999999999</v>
      </c>
      <c r="AL9" s="104">
        <v>5.5711103500000005</v>
      </c>
      <c r="AM9" s="104">
        <v>5.4050428899999972</v>
      </c>
      <c r="AN9" s="104">
        <v>3.3804330899999995</v>
      </c>
      <c r="AO9" s="104">
        <v>0</v>
      </c>
      <c r="AP9" s="105">
        <v>-2.0246097999999977</v>
      </c>
      <c r="AQ9" s="105">
        <v>0</v>
      </c>
      <c r="AR9" s="105">
        <v>10.343060224166665</v>
      </c>
      <c r="AS9" s="106">
        <v>5.7656363783333324</v>
      </c>
      <c r="AT9"/>
      <c r="AU9" s="107">
        <v>0</v>
      </c>
      <c r="AV9" s="108">
        <v>0</v>
      </c>
      <c r="AW9" s="108">
        <v>0</v>
      </c>
      <c r="AX9" s="108">
        <v>0</v>
      </c>
      <c r="AY9"/>
      <c r="AZ9" s="107">
        <v>15.356450199999999</v>
      </c>
      <c r="BA9" s="108">
        <v>13.779811849999998</v>
      </c>
      <c r="BB9" s="108">
        <v>27.09198108999998</v>
      </c>
      <c r="BC9" s="108">
        <v>67.88847955</v>
      </c>
      <c r="BD9"/>
      <c r="BE9" s="107">
        <v>29.155706159999994</v>
      </c>
      <c r="BF9" s="108">
        <v>17.179960450000003</v>
      </c>
      <c r="BG9" s="108">
        <v>14.066493949999998</v>
      </c>
      <c r="BH9" s="108">
        <v>8.7854759799999975</v>
      </c>
    </row>
    <row r="10" spans="2:60" x14ac:dyDescent="0.2">
      <c r="B10" s="344"/>
      <c r="D10" s="348" t="s">
        <v>195</v>
      </c>
      <c r="E10" s="95" t="s">
        <v>193</v>
      </c>
      <c r="F10" s="96">
        <v>0</v>
      </c>
      <c r="G10" s="96">
        <v>0</v>
      </c>
      <c r="H10" s="96">
        <v>0</v>
      </c>
      <c r="I10" s="96">
        <v>0</v>
      </c>
      <c r="J10" s="96">
        <v>0</v>
      </c>
      <c r="K10" s="96">
        <v>0</v>
      </c>
      <c r="L10" s="96">
        <v>0</v>
      </c>
      <c r="M10" s="96">
        <v>0</v>
      </c>
      <c r="N10" s="96">
        <v>0</v>
      </c>
      <c r="O10" s="96">
        <v>0</v>
      </c>
      <c r="P10" s="96">
        <v>0</v>
      </c>
      <c r="Q10" s="96">
        <v>0</v>
      </c>
      <c r="R10" s="97">
        <v>1</v>
      </c>
      <c r="S10" s="97">
        <v>2</v>
      </c>
      <c r="T10" s="97">
        <v>1</v>
      </c>
      <c r="U10" s="97">
        <v>1</v>
      </c>
      <c r="V10" s="97">
        <v>0</v>
      </c>
      <c r="W10" s="97">
        <v>0</v>
      </c>
      <c r="X10" s="97">
        <v>0</v>
      </c>
      <c r="Y10" s="97">
        <v>0</v>
      </c>
      <c r="Z10" s="97">
        <v>1</v>
      </c>
      <c r="AA10" s="97">
        <v>0</v>
      </c>
      <c r="AB10" s="97">
        <v>0</v>
      </c>
      <c r="AC10" s="97">
        <v>1</v>
      </c>
      <c r="AD10" s="97">
        <v>0</v>
      </c>
      <c r="AE10" s="97">
        <v>0</v>
      </c>
      <c r="AF10" s="97">
        <v>0</v>
      </c>
      <c r="AG10" s="97">
        <v>0</v>
      </c>
      <c r="AH10" s="97">
        <v>0</v>
      </c>
      <c r="AI10" s="97">
        <v>2</v>
      </c>
      <c r="AJ10" s="97">
        <v>0</v>
      </c>
      <c r="AK10" s="97">
        <v>0</v>
      </c>
      <c r="AL10" s="97">
        <v>2</v>
      </c>
      <c r="AM10" s="97">
        <v>0</v>
      </c>
      <c r="AN10" s="97">
        <v>0</v>
      </c>
      <c r="AO10" s="97">
        <v>0</v>
      </c>
      <c r="AP10" s="98">
        <v>0</v>
      </c>
      <c r="AQ10" s="98">
        <v>0</v>
      </c>
      <c r="AR10" s="98">
        <v>0.58333333333333337</v>
      </c>
      <c r="AS10" s="99">
        <v>0.33333333333333331</v>
      </c>
      <c r="AT10" s="7"/>
      <c r="AU10" s="100">
        <v>0</v>
      </c>
      <c r="AV10" s="101">
        <v>0</v>
      </c>
      <c r="AW10" s="101">
        <v>0</v>
      </c>
      <c r="AX10" s="101">
        <v>0</v>
      </c>
      <c r="AY10" s="7"/>
      <c r="AZ10" s="100">
        <v>4</v>
      </c>
      <c r="BA10" s="101">
        <v>1</v>
      </c>
      <c r="BB10" s="101">
        <v>1</v>
      </c>
      <c r="BC10" s="101">
        <v>1</v>
      </c>
      <c r="BD10" s="7"/>
      <c r="BE10" s="100">
        <v>0</v>
      </c>
      <c r="BF10" s="101">
        <v>2</v>
      </c>
      <c r="BG10" s="101">
        <v>2</v>
      </c>
      <c r="BH10" s="101">
        <v>0</v>
      </c>
    </row>
    <row r="11" spans="2:60" ht="16" thickBot="1" x14ac:dyDescent="0.25">
      <c r="B11" s="344"/>
      <c r="D11" s="346"/>
      <c r="E11" s="102" t="s">
        <v>194</v>
      </c>
      <c r="F11" s="103">
        <v>0</v>
      </c>
      <c r="G11" s="103">
        <v>0</v>
      </c>
      <c r="H11" s="103">
        <v>0</v>
      </c>
      <c r="I11" s="103">
        <v>0</v>
      </c>
      <c r="J11" s="103">
        <v>0</v>
      </c>
      <c r="K11" s="103">
        <v>0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4">
        <v>0.14310218</v>
      </c>
      <c r="S11" s="104">
        <v>0.97761969999999998</v>
      </c>
      <c r="T11" s="104">
        <v>0.14310218</v>
      </c>
      <c r="U11" s="104">
        <v>0.20600813000000001</v>
      </c>
      <c r="V11" s="104">
        <v>0</v>
      </c>
      <c r="W11" s="104">
        <v>0</v>
      </c>
      <c r="X11" s="104">
        <v>0</v>
      </c>
      <c r="Y11" s="104">
        <v>0</v>
      </c>
      <c r="Z11" s="104">
        <v>0.78643911</v>
      </c>
      <c r="AA11" s="104">
        <v>0</v>
      </c>
      <c r="AB11" s="104">
        <v>0</v>
      </c>
      <c r="AC11" s="104">
        <v>1.2845053700000002</v>
      </c>
      <c r="AD11" s="104">
        <v>0</v>
      </c>
      <c r="AE11" s="104">
        <v>0</v>
      </c>
      <c r="AF11" s="104">
        <v>0</v>
      </c>
      <c r="AG11" s="104">
        <v>0</v>
      </c>
      <c r="AH11" s="104">
        <v>0</v>
      </c>
      <c r="AI11" s="104">
        <v>2.97150888</v>
      </c>
      <c r="AJ11" s="104">
        <v>0</v>
      </c>
      <c r="AK11" s="104">
        <v>0</v>
      </c>
      <c r="AL11" s="104">
        <v>1.3258273899999999</v>
      </c>
      <c r="AM11" s="104">
        <v>0</v>
      </c>
      <c r="AN11" s="104">
        <v>0</v>
      </c>
      <c r="AO11" s="104">
        <v>0</v>
      </c>
      <c r="AP11" s="105">
        <v>0</v>
      </c>
      <c r="AQ11" s="105">
        <v>0</v>
      </c>
      <c r="AR11" s="105">
        <v>0.29506472250000004</v>
      </c>
      <c r="AS11" s="106">
        <v>0.35811135583333331</v>
      </c>
      <c r="AT11"/>
      <c r="AU11" s="107">
        <v>0</v>
      </c>
      <c r="AV11" s="108">
        <v>0</v>
      </c>
      <c r="AW11" s="108">
        <v>0</v>
      </c>
      <c r="AX11" s="108">
        <v>0</v>
      </c>
      <c r="AY11"/>
      <c r="AZ11" s="107">
        <v>1.2638240600000001</v>
      </c>
      <c r="BA11" s="108">
        <v>0.20600813000000001</v>
      </c>
      <c r="BB11" s="108">
        <v>0.78643911</v>
      </c>
      <c r="BC11" s="108">
        <v>1.2845053700000002</v>
      </c>
      <c r="BD11"/>
      <c r="BE11" s="107">
        <v>0</v>
      </c>
      <c r="BF11" s="108">
        <v>2.97150888</v>
      </c>
      <c r="BG11" s="108">
        <v>1.3258273899999999</v>
      </c>
      <c r="BH11" s="108">
        <v>0</v>
      </c>
    </row>
    <row r="12" spans="2:60" x14ac:dyDescent="0.2">
      <c r="B12" s="344"/>
      <c r="D12" s="348" t="s">
        <v>122</v>
      </c>
      <c r="E12" s="95" t="s">
        <v>193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96">
        <v>0</v>
      </c>
      <c r="N12" s="96">
        <v>0</v>
      </c>
      <c r="O12" s="96">
        <v>0</v>
      </c>
      <c r="P12" s="96">
        <v>0</v>
      </c>
      <c r="Q12" s="96">
        <v>0</v>
      </c>
      <c r="R12" s="109">
        <v>681</v>
      </c>
      <c r="S12" s="109">
        <v>676</v>
      </c>
      <c r="T12" s="109">
        <v>832</v>
      </c>
      <c r="U12" s="109">
        <v>715</v>
      </c>
      <c r="V12" s="109">
        <v>491</v>
      </c>
      <c r="W12" s="109">
        <v>626</v>
      </c>
      <c r="X12" s="109">
        <v>778</v>
      </c>
      <c r="Y12" s="109">
        <v>746</v>
      </c>
      <c r="Z12" s="109">
        <v>910</v>
      </c>
      <c r="AA12" s="109">
        <v>967</v>
      </c>
      <c r="AB12" s="109">
        <v>1002</v>
      </c>
      <c r="AC12" s="109">
        <v>1152</v>
      </c>
      <c r="AD12" s="109">
        <v>743</v>
      </c>
      <c r="AE12" s="109">
        <v>609</v>
      </c>
      <c r="AF12" s="109">
        <v>594</v>
      </c>
      <c r="AG12" s="109">
        <v>508</v>
      </c>
      <c r="AH12" s="109">
        <v>479</v>
      </c>
      <c r="AI12" s="109">
        <v>404</v>
      </c>
      <c r="AJ12" s="109">
        <v>449</v>
      </c>
      <c r="AK12" s="109">
        <v>380</v>
      </c>
      <c r="AL12" s="109">
        <v>443</v>
      </c>
      <c r="AM12" s="109">
        <v>415</v>
      </c>
      <c r="AN12" s="109">
        <v>320</v>
      </c>
      <c r="AO12" s="109">
        <v>0</v>
      </c>
      <c r="AP12" s="110">
        <v>-95</v>
      </c>
      <c r="AQ12" s="110">
        <v>0</v>
      </c>
      <c r="AR12" s="110">
        <v>798</v>
      </c>
      <c r="AS12" s="111">
        <v>445.33333333333331</v>
      </c>
      <c r="AT12" s="7"/>
      <c r="AU12" s="100">
        <v>0</v>
      </c>
      <c r="AV12" s="101">
        <v>0</v>
      </c>
      <c r="AW12" s="101">
        <v>0</v>
      </c>
      <c r="AX12" s="101">
        <v>0</v>
      </c>
      <c r="AY12" s="7"/>
      <c r="AZ12" s="100">
        <v>2189</v>
      </c>
      <c r="BA12" s="101">
        <v>1832</v>
      </c>
      <c r="BB12" s="101">
        <v>2434</v>
      </c>
      <c r="BC12" s="101">
        <v>3121</v>
      </c>
      <c r="BD12" s="7"/>
      <c r="BE12" s="100">
        <v>1946</v>
      </c>
      <c r="BF12" s="101">
        <v>1391</v>
      </c>
      <c r="BG12" s="101">
        <v>1272</v>
      </c>
      <c r="BH12" s="101">
        <v>735</v>
      </c>
    </row>
    <row r="13" spans="2:60" ht="16" thickBot="1" x14ac:dyDescent="0.25">
      <c r="B13" s="344"/>
      <c r="D13" s="346"/>
      <c r="E13" s="102" t="s">
        <v>194</v>
      </c>
      <c r="F13" s="112">
        <v>0</v>
      </c>
      <c r="G13" s="112">
        <v>0</v>
      </c>
      <c r="H13" s="112">
        <v>0</v>
      </c>
      <c r="I13" s="112">
        <v>0</v>
      </c>
      <c r="J13" s="112">
        <v>0</v>
      </c>
      <c r="K13" s="112">
        <v>0</v>
      </c>
      <c r="L13" s="112">
        <v>0</v>
      </c>
      <c r="M13" s="112">
        <v>0</v>
      </c>
      <c r="N13" s="112">
        <v>0</v>
      </c>
      <c r="O13" s="112">
        <v>0</v>
      </c>
      <c r="P13" s="112">
        <v>0</v>
      </c>
      <c r="Q13" s="112">
        <v>0</v>
      </c>
      <c r="R13" s="113">
        <v>165.26112381999994</v>
      </c>
      <c r="S13" s="113">
        <v>164.17005311</v>
      </c>
      <c r="T13" s="113">
        <v>430.55273617999995</v>
      </c>
      <c r="U13" s="113">
        <v>321.90335958999992</v>
      </c>
      <c r="V13" s="113">
        <v>60.685164720000003</v>
      </c>
      <c r="W13" s="113">
        <v>112.32668683</v>
      </c>
      <c r="X13" s="113">
        <v>95.084658319999974</v>
      </c>
      <c r="Y13" s="113">
        <v>80.328937750000009</v>
      </c>
      <c r="Z13" s="113">
        <v>85.460726779999987</v>
      </c>
      <c r="AA13" s="113">
        <v>80.081379450000014</v>
      </c>
      <c r="AB13" s="113">
        <v>76.416594320000044</v>
      </c>
      <c r="AC13" s="113">
        <v>156.52113502999993</v>
      </c>
      <c r="AD13" s="113">
        <v>100.82240306</v>
      </c>
      <c r="AE13" s="113">
        <v>93.111065679999996</v>
      </c>
      <c r="AF13" s="113">
        <v>126.29622095999997</v>
      </c>
      <c r="AG13" s="113">
        <v>103.16660390999998</v>
      </c>
      <c r="AH13" s="113">
        <v>165.69399462999999</v>
      </c>
      <c r="AI13" s="113">
        <v>133.25880041999997</v>
      </c>
      <c r="AJ13" s="113">
        <v>113.60642884999997</v>
      </c>
      <c r="AK13" s="113">
        <v>79.858019230000025</v>
      </c>
      <c r="AL13" s="113">
        <v>164.16573891000002</v>
      </c>
      <c r="AM13" s="113">
        <v>179.95766560000001</v>
      </c>
      <c r="AN13" s="113">
        <v>163.19833702999998</v>
      </c>
      <c r="AO13" s="113">
        <v>0</v>
      </c>
      <c r="AP13" s="105">
        <v>-16.759328570000037</v>
      </c>
      <c r="AQ13" s="105">
        <v>0</v>
      </c>
      <c r="AR13" s="105">
        <v>152.39937965833332</v>
      </c>
      <c r="AS13" s="106">
        <v>118.59460652333331</v>
      </c>
      <c r="AT13"/>
      <c r="AU13" s="107">
        <v>0</v>
      </c>
      <c r="AV13" s="108">
        <v>0</v>
      </c>
      <c r="AW13" s="108">
        <v>0</v>
      </c>
      <c r="AX13" s="108">
        <v>0</v>
      </c>
      <c r="AY13"/>
      <c r="AZ13" s="107">
        <v>759.98391310999989</v>
      </c>
      <c r="BA13" s="108">
        <v>494.91521113999988</v>
      </c>
      <c r="BB13" s="108">
        <v>260.87432285</v>
      </c>
      <c r="BC13" s="108">
        <v>313.01910879999997</v>
      </c>
      <c r="BD13"/>
      <c r="BE13" s="107">
        <v>320.22968969999999</v>
      </c>
      <c r="BF13" s="108">
        <v>402.1193989599999</v>
      </c>
      <c r="BG13" s="108">
        <v>357.63018699000003</v>
      </c>
      <c r="BH13" s="108">
        <v>343.15600262999999</v>
      </c>
    </row>
    <row r="15" spans="2:60" ht="16" thickBot="1" x14ac:dyDescent="0.25">
      <c r="D15" s="92" t="s">
        <v>196</v>
      </c>
      <c r="E15" s="93"/>
      <c r="F15" s="90">
        <v>44562</v>
      </c>
      <c r="G15" s="90">
        <v>44593</v>
      </c>
      <c r="H15" s="90">
        <v>44621</v>
      </c>
      <c r="I15" s="90">
        <v>44652</v>
      </c>
      <c r="J15" s="90">
        <v>44682</v>
      </c>
      <c r="K15" s="90">
        <v>44713</v>
      </c>
      <c r="L15" s="90">
        <v>44743</v>
      </c>
      <c r="M15" s="90">
        <v>44774</v>
      </c>
      <c r="N15" s="90">
        <v>44805</v>
      </c>
      <c r="O15" s="90">
        <v>44835</v>
      </c>
      <c r="P15" s="90">
        <v>44866</v>
      </c>
      <c r="Q15" s="90">
        <v>44896</v>
      </c>
      <c r="R15" s="90">
        <v>44927</v>
      </c>
      <c r="S15" s="90">
        <v>44958</v>
      </c>
      <c r="T15" s="90">
        <v>44986</v>
      </c>
      <c r="U15" s="90">
        <v>45017</v>
      </c>
      <c r="V15" s="90">
        <v>45047</v>
      </c>
      <c r="W15" s="90">
        <v>45078</v>
      </c>
      <c r="X15" s="90">
        <v>45108</v>
      </c>
      <c r="Y15" s="90">
        <v>45139</v>
      </c>
      <c r="Z15" s="90">
        <v>45170</v>
      </c>
      <c r="AA15" s="90">
        <v>45200</v>
      </c>
      <c r="AB15" s="90">
        <v>45231</v>
      </c>
      <c r="AC15" s="90">
        <v>45261</v>
      </c>
      <c r="AD15" s="90">
        <v>45292</v>
      </c>
      <c r="AE15" s="90">
        <v>45323</v>
      </c>
      <c r="AF15" s="90">
        <v>45352</v>
      </c>
      <c r="AG15" s="90">
        <v>45383</v>
      </c>
      <c r="AH15" s="90">
        <v>45413</v>
      </c>
      <c r="AI15" s="90">
        <v>45444</v>
      </c>
      <c r="AJ15" s="90">
        <v>45474</v>
      </c>
      <c r="AK15" s="90">
        <v>45505</v>
      </c>
      <c r="AL15" s="90">
        <v>45536</v>
      </c>
      <c r="AM15" s="90">
        <v>45566</v>
      </c>
      <c r="AN15" s="90">
        <v>45597</v>
      </c>
      <c r="AO15" s="90">
        <v>45627</v>
      </c>
      <c r="AP15" s="91" t="s">
        <v>175</v>
      </c>
      <c r="AQ15" s="91" t="s">
        <v>176</v>
      </c>
      <c r="AR15" s="91" t="s">
        <v>177</v>
      </c>
      <c r="AS15" s="91" t="s">
        <v>178</v>
      </c>
      <c r="AT15" s="94"/>
      <c r="AU15" s="91" t="s">
        <v>179</v>
      </c>
      <c r="AV15" s="91" t="s">
        <v>180</v>
      </c>
      <c r="AW15" s="91" t="s">
        <v>181</v>
      </c>
      <c r="AX15" s="91" t="s">
        <v>182</v>
      </c>
      <c r="AY15" s="94"/>
      <c r="AZ15" s="91" t="s">
        <v>183</v>
      </c>
      <c r="BA15" s="91" t="s">
        <v>184</v>
      </c>
      <c r="BB15" s="91" t="s">
        <v>185</v>
      </c>
      <c r="BC15" s="91" t="s">
        <v>186</v>
      </c>
      <c r="BD15" s="94"/>
      <c r="BE15" s="91" t="s">
        <v>187</v>
      </c>
      <c r="BF15" s="91" t="s">
        <v>188</v>
      </c>
      <c r="BG15" s="91" t="s">
        <v>189</v>
      </c>
      <c r="BH15" s="91" t="s">
        <v>190</v>
      </c>
    </row>
    <row r="16" spans="2:60" ht="14.5" customHeight="1" x14ac:dyDescent="0.2">
      <c r="B16" s="344" t="s">
        <v>197</v>
      </c>
      <c r="D16" s="345" t="s">
        <v>192</v>
      </c>
      <c r="E16" s="95" t="s">
        <v>193</v>
      </c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7">
        <v>31</v>
      </c>
      <c r="S16" s="97">
        <v>30</v>
      </c>
      <c r="T16" s="97">
        <v>35</v>
      </c>
      <c r="U16" s="97">
        <v>42</v>
      </c>
      <c r="V16" s="97">
        <v>21</v>
      </c>
      <c r="W16" s="97">
        <v>43</v>
      </c>
      <c r="X16" s="97">
        <v>28</v>
      </c>
      <c r="Y16" s="97">
        <v>35</v>
      </c>
      <c r="Z16" s="97">
        <v>42</v>
      </c>
      <c r="AA16" s="97">
        <v>26</v>
      </c>
      <c r="AB16" s="97">
        <v>51</v>
      </c>
      <c r="AC16" s="97">
        <v>50</v>
      </c>
      <c r="AD16" s="97">
        <v>47</v>
      </c>
      <c r="AE16" s="97">
        <v>45</v>
      </c>
      <c r="AF16" s="97">
        <v>39</v>
      </c>
      <c r="AG16" s="97">
        <v>32</v>
      </c>
      <c r="AH16" s="97">
        <v>39</v>
      </c>
      <c r="AI16" s="97">
        <v>52</v>
      </c>
      <c r="AJ16" s="97">
        <v>45</v>
      </c>
      <c r="AK16" s="97">
        <v>79</v>
      </c>
      <c r="AL16" s="97">
        <v>70</v>
      </c>
      <c r="AM16" s="97">
        <v>47</v>
      </c>
      <c r="AN16" s="97">
        <v>71</v>
      </c>
      <c r="AO16" s="97"/>
      <c r="AP16" s="98">
        <v>24</v>
      </c>
      <c r="AQ16" s="98" t="e">
        <v>#DIV/0!</v>
      </c>
      <c r="AR16" s="98">
        <v>36.166666666666664</v>
      </c>
      <c r="AS16" s="99">
        <v>51.454545454545453</v>
      </c>
      <c r="AT16" s="7"/>
      <c r="AU16" s="100">
        <v>0</v>
      </c>
      <c r="AV16" s="101">
        <v>0</v>
      </c>
      <c r="AW16" s="101">
        <v>0</v>
      </c>
      <c r="AX16" s="101">
        <v>0</v>
      </c>
      <c r="AY16" s="7"/>
      <c r="AZ16" s="100">
        <v>96</v>
      </c>
      <c r="BA16" s="101">
        <v>106</v>
      </c>
      <c r="BB16" s="101">
        <v>105</v>
      </c>
      <c r="BC16" s="101">
        <v>127</v>
      </c>
      <c r="BD16" s="7"/>
      <c r="BE16" s="100">
        <v>131</v>
      </c>
      <c r="BF16" s="101">
        <v>123</v>
      </c>
      <c r="BG16" s="101">
        <v>194</v>
      </c>
      <c r="BH16" s="101">
        <v>118</v>
      </c>
    </row>
    <row r="17" spans="2:60" ht="16" thickBot="1" x14ac:dyDescent="0.25">
      <c r="B17" s="344"/>
      <c r="D17" s="346"/>
      <c r="E17" s="102" t="s">
        <v>194</v>
      </c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4">
        <v>4.6977679300000013</v>
      </c>
      <c r="S17" s="104">
        <v>4.8183850299999991</v>
      </c>
      <c r="T17" s="104">
        <v>5.4532319100000004</v>
      </c>
      <c r="U17" s="104">
        <v>12.832774460000001</v>
      </c>
      <c r="V17" s="104">
        <v>2.9563069800000004</v>
      </c>
      <c r="W17" s="104">
        <v>15.193082909999998</v>
      </c>
      <c r="X17" s="104">
        <v>4.7655670599999995</v>
      </c>
      <c r="Y17" s="104">
        <v>5.0382132400000001</v>
      </c>
      <c r="Z17" s="104">
        <v>5.9750106900000013</v>
      </c>
      <c r="AA17" s="104">
        <v>4.2394203500000005</v>
      </c>
      <c r="AB17" s="104">
        <v>8.7776839800000008</v>
      </c>
      <c r="AC17" s="104">
        <v>8.4435653200000029</v>
      </c>
      <c r="AD17" s="104">
        <v>5.9965157500000013</v>
      </c>
      <c r="AE17" s="104">
        <v>5.9957494399999982</v>
      </c>
      <c r="AF17" s="104">
        <v>6.5432789000000016</v>
      </c>
      <c r="AG17" s="104">
        <v>5.8147573700000015</v>
      </c>
      <c r="AH17" s="104">
        <v>5.1397166000000007</v>
      </c>
      <c r="AI17" s="104">
        <v>11.92333771</v>
      </c>
      <c r="AJ17" s="104">
        <v>12.848916569999998</v>
      </c>
      <c r="AK17" s="104">
        <v>8.0406315699999986</v>
      </c>
      <c r="AL17" s="104">
        <v>10.51463693</v>
      </c>
      <c r="AM17" s="104">
        <v>5.41559846</v>
      </c>
      <c r="AN17" s="104">
        <v>8.6877871000000013</v>
      </c>
      <c r="AO17" s="104"/>
      <c r="AP17" s="105">
        <v>3.2721886400000013</v>
      </c>
      <c r="AQ17" s="105" t="e">
        <v>#DIV/0!</v>
      </c>
      <c r="AR17" s="105">
        <v>6.9325841550000016</v>
      </c>
      <c r="AS17" s="106">
        <v>7.9019023999999982</v>
      </c>
      <c r="AT17"/>
      <c r="AU17" s="107">
        <v>0</v>
      </c>
      <c r="AV17" s="108">
        <v>0</v>
      </c>
      <c r="AW17" s="108">
        <v>0</v>
      </c>
      <c r="AX17" s="108">
        <v>0</v>
      </c>
      <c r="AY17"/>
      <c r="AZ17" s="107">
        <v>14.969384869999999</v>
      </c>
      <c r="BA17" s="108">
        <v>30.982164349999998</v>
      </c>
      <c r="BB17" s="108">
        <v>15.778790990000001</v>
      </c>
      <c r="BC17" s="108">
        <v>21.460669650000007</v>
      </c>
      <c r="BD17"/>
      <c r="BE17" s="107">
        <v>18.535544090000002</v>
      </c>
      <c r="BF17" s="108">
        <v>22.877811680000001</v>
      </c>
      <c r="BG17" s="108">
        <v>31.404185069999997</v>
      </c>
      <c r="BH17" s="108">
        <v>14.103385560000001</v>
      </c>
    </row>
    <row r="18" spans="2:60" x14ac:dyDescent="0.2">
      <c r="B18" s="344"/>
      <c r="D18" s="347" t="s">
        <v>21</v>
      </c>
      <c r="E18" s="95" t="s">
        <v>193</v>
      </c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7">
        <v>289</v>
      </c>
      <c r="S18" s="97">
        <v>277</v>
      </c>
      <c r="T18" s="97">
        <v>277</v>
      </c>
      <c r="U18" s="97">
        <v>192</v>
      </c>
      <c r="V18" s="97">
        <v>195</v>
      </c>
      <c r="W18" s="97">
        <v>230</v>
      </c>
      <c r="X18" s="97">
        <v>283</v>
      </c>
      <c r="Y18" s="97">
        <v>256</v>
      </c>
      <c r="Z18" s="97">
        <v>340</v>
      </c>
      <c r="AA18" s="97">
        <v>350</v>
      </c>
      <c r="AB18" s="97">
        <v>301</v>
      </c>
      <c r="AC18" s="97">
        <v>290</v>
      </c>
      <c r="AD18" s="97">
        <v>242</v>
      </c>
      <c r="AE18" s="97">
        <v>232</v>
      </c>
      <c r="AF18" s="97">
        <v>208</v>
      </c>
      <c r="AG18" s="97">
        <v>194</v>
      </c>
      <c r="AH18" s="97">
        <v>170</v>
      </c>
      <c r="AI18" s="97">
        <v>174</v>
      </c>
      <c r="AJ18" s="97">
        <v>194</v>
      </c>
      <c r="AK18" s="97">
        <v>166</v>
      </c>
      <c r="AL18" s="97">
        <v>202</v>
      </c>
      <c r="AM18" s="97">
        <v>200</v>
      </c>
      <c r="AN18" s="97">
        <v>134</v>
      </c>
      <c r="AO18" s="97"/>
      <c r="AP18" s="98">
        <v>-66</v>
      </c>
      <c r="AQ18" s="98" t="e">
        <v>#DIV/0!</v>
      </c>
      <c r="AR18" s="98">
        <v>273.33333333333331</v>
      </c>
      <c r="AS18" s="99">
        <v>192.36363636363637</v>
      </c>
      <c r="AT18" s="7"/>
      <c r="AU18" s="100">
        <v>0</v>
      </c>
      <c r="AV18" s="101">
        <v>0</v>
      </c>
      <c r="AW18" s="101">
        <v>0</v>
      </c>
      <c r="AX18" s="101">
        <v>0</v>
      </c>
      <c r="AY18" s="7"/>
      <c r="AZ18" s="100">
        <v>843</v>
      </c>
      <c r="BA18" s="101">
        <v>617</v>
      </c>
      <c r="BB18" s="101">
        <v>879</v>
      </c>
      <c r="BC18" s="101">
        <v>941</v>
      </c>
      <c r="BD18" s="7"/>
      <c r="BE18" s="100">
        <v>682</v>
      </c>
      <c r="BF18" s="101">
        <v>538</v>
      </c>
      <c r="BG18" s="101">
        <v>562</v>
      </c>
      <c r="BH18" s="101">
        <v>334</v>
      </c>
    </row>
    <row r="19" spans="2:60" ht="16" thickBot="1" x14ac:dyDescent="0.25">
      <c r="B19" s="344"/>
      <c r="D19" s="346"/>
      <c r="E19" s="102" t="s">
        <v>194</v>
      </c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4">
        <v>2.3483785799999994</v>
      </c>
      <c r="S19" s="104">
        <v>2.0076549499999996</v>
      </c>
      <c r="T19" s="104">
        <v>1.9778445900000008</v>
      </c>
      <c r="U19" s="104">
        <v>1.8906596800000011</v>
      </c>
      <c r="V19" s="104">
        <v>1.8124117500000005</v>
      </c>
      <c r="W19" s="104">
        <v>2.4976628400000012</v>
      </c>
      <c r="X19" s="104">
        <v>2.9328077900000009</v>
      </c>
      <c r="Y19" s="104">
        <v>2.3532471399999988</v>
      </c>
      <c r="Z19" s="104">
        <v>4.0861495200000011</v>
      </c>
      <c r="AA19" s="104">
        <v>4.8644380599999986</v>
      </c>
      <c r="AB19" s="104">
        <v>4.0128948699999993</v>
      </c>
      <c r="AC19" s="104">
        <v>3.3552608599999991</v>
      </c>
      <c r="AD19" s="104">
        <v>3.5739831399999993</v>
      </c>
      <c r="AE19" s="104">
        <v>2.7702407099999995</v>
      </c>
      <c r="AF19" s="104">
        <v>2.6965472399999975</v>
      </c>
      <c r="AG19" s="104">
        <v>2.2446239899999996</v>
      </c>
      <c r="AH19" s="104">
        <v>2.2829525399999997</v>
      </c>
      <c r="AI19" s="104">
        <v>1.5583258700000016</v>
      </c>
      <c r="AJ19" s="104">
        <v>2.3110631099999992</v>
      </c>
      <c r="AK19" s="104">
        <v>1.6495775700000004</v>
      </c>
      <c r="AL19" s="104">
        <v>3.1226444899999999</v>
      </c>
      <c r="AM19" s="104">
        <v>2.5479660999999982</v>
      </c>
      <c r="AN19" s="104">
        <v>1.7110997499999994</v>
      </c>
      <c r="AO19" s="104"/>
      <c r="AP19" s="105">
        <v>-0.83686634999999887</v>
      </c>
      <c r="AQ19" s="105" t="e">
        <v>#DIV/0!</v>
      </c>
      <c r="AR19" s="105">
        <v>2.8449508858333332</v>
      </c>
      <c r="AS19" s="106">
        <v>2.4062749554545451</v>
      </c>
      <c r="AT19"/>
      <c r="AU19" s="107">
        <v>0</v>
      </c>
      <c r="AV19" s="108">
        <v>0</v>
      </c>
      <c r="AW19" s="108">
        <v>0</v>
      </c>
      <c r="AX19" s="108">
        <v>0</v>
      </c>
      <c r="AY19"/>
      <c r="AZ19" s="107">
        <v>6.3338781200000005</v>
      </c>
      <c r="BA19" s="108">
        <v>6.2007342700000025</v>
      </c>
      <c r="BB19" s="108">
        <v>9.3722044500000017</v>
      </c>
      <c r="BC19" s="108">
        <v>12.232593789999997</v>
      </c>
      <c r="BD19"/>
      <c r="BE19" s="107">
        <v>9.0407710899999962</v>
      </c>
      <c r="BF19" s="108">
        <v>6.085902400000001</v>
      </c>
      <c r="BG19" s="108">
        <v>7.0832851699999999</v>
      </c>
      <c r="BH19" s="108">
        <v>4.2590658499999972</v>
      </c>
    </row>
    <row r="20" spans="2:60" x14ac:dyDescent="0.2">
      <c r="B20" s="344"/>
      <c r="D20" s="348" t="s">
        <v>195</v>
      </c>
      <c r="E20" s="95" t="s">
        <v>193</v>
      </c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7">
        <v>1</v>
      </c>
      <c r="S20" s="97">
        <v>2</v>
      </c>
      <c r="T20" s="97">
        <v>1</v>
      </c>
      <c r="U20" s="97">
        <v>1</v>
      </c>
      <c r="V20" s="97">
        <v>0</v>
      </c>
      <c r="W20" s="97">
        <v>0</v>
      </c>
      <c r="X20" s="97">
        <v>0</v>
      </c>
      <c r="Y20" s="97">
        <v>0</v>
      </c>
      <c r="Z20" s="97">
        <v>1</v>
      </c>
      <c r="AA20" s="97">
        <v>0</v>
      </c>
      <c r="AB20" s="97">
        <v>0</v>
      </c>
      <c r="AC20" s="97">
        <v>1</v>
      </c>
      <c r="AD20" s="97">
        <v>0</v>
      </c>
      <c r="AE20" s="97">
        <v>0</v>
      </c>
      <c r="AF20" s="97">
        <v>0</v>
      </c>
      <c r="AG20" s="97">
        <v>0</v>
      </c>
      <c r="AH20" s="97">
        <v>0</v>
      </c>
      <c r="AI20" s="97">
        <v>2</v>
      </c>
      <c r="AJ20" s="97">
        <v>0</v>
      </c>
      <c r="AK20" s="97">
        <v>0</v>
      </c>
      <c r="AL20" s="97">
        <v>2</v>
      </c>
      <c r="AM20" s="97"/>
      <c r="AN20" s="97">
        <v>0</v>
      </c>
      <c r="AO20" s="97"/>
      <c r="AP20" s="98">
        <v>0</v>
      </c>
      <c r="AQ20" s="98" t="e">
        <v>#DIV/0!</v>
      </c>
      <c r="AR20" s="98">
        <v>0.58333333333333337</v>
      </c>
      <c r="AS20" s="99">
        <v>0.4</v>
      </c>
      <c r="AT20" s="7"/>
      <c r="AU20" s="100">
        <v>0</v>
      </c>
      <c r="AV20" s="101">
        <v>0</v>
      </c>
      <c r="AW20" s="101">
        <v>0</v>
      </c>
      <c r="AX20" s="101">
        <v>0</v>
      </c>
      <c r="AY20" s="7"/>
      <c r="AZ20" s="100">
        <v>4</v>
      </c>
      <c r="BA20" s="101">
        <v>1</v>
      </c>
      <c r="BB20" s="101">
        <v>1</v>
      </c>
      <c r="BC20" s="101">
        <v>1</v>
      </c>
      <c r="BD20" s="7"/>
      <c r="BE20" s="100">
        <v>0</v>
      </c>
      <c r="BF20" s="101">
        <v>2</v>
      </c>
      <c r="BG20" s="101">
        <v>2</v>
      </c>
      <c r="BH20" s="101">
        <v>0</v>
      </c>
    </row>
    <row r="21" spans="2:60" ht="16" thickBot="1" x14ac:dyDescent="0.25">
      <c r="B21" s="344"/>
      <c r="D21" s="346"/>
      <c r="E21" s="102" t="s">
        <v>194</v>
      </c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4">
        <v>0.14310218</v>
      </c>
      <c r="S21" s="104">
        <v>0.97761969999999998</v>
      </c>
      <c r="T21" s="104">
        <v>0.14310218</v>
      </c>
      <c r="U21" s="104">
        <v>0.20600813000000001</v>
      </c>
      <c r="V21" s="104">
        <v>0</v>
      </c>
      <c r="W21" s="104">
        <v>0</v>
      </c>
      <c r="X21" s="104">
        <v>0</v>
      </c>
      <c r="Y21" s="104">
        <v>0</v>
      </c>
      <c r="Z21" s="104">
        <v>0.78643911</v>
      </c>
      <c r="AA21" s="104">
        <v>0</v>
      </c>
      <c r="AB21" s="104">
        <v>0</v>
      </c>
      <c r="AC21" s="104">
        <v>1.2845053700000002</v>
      </c>
      <c r="AD21" s="104">
        <v>0</v>
      </c>
      <c r="AE21" s="104">
        <v>0</v>
      </c>
      <c r="AF21" s="104">
        <v>0</v>
      </c>
      <c r="AG21" s="104">
        <v>0</v>
      </c>
      <c r="AH21" s="104">
        <v>0</v>
      </c>
      <c r="AI21" s="104">
        <v>2.97150888</v>
      </c>
      <c r="AJ21" s="104">
        <v>0</v>
      </c>
      <c r="AK21" s="104">
        <v>0</v>
      </c>
      <c r="AL21" s="104">
        <v>1.3258273899999999</v>
      </c>
      <c r="AM21" s="104">
        <v>0</v>
      </c>
      <c r="AN21" s="104">
        <v>0</v>
      </c>
      <c r="AO21" s="104"/>
      <c r="AP21" s="105">
        <v>0</v>
      </c>
      <c r="AQ21" s="105" t="e">
        <v>#DIV/0!</v>
      </c>
      <c r="AR21" s="105">
        <v>0.29506472250000004</v>
      </c>
      <c r="AS21" s="106">
        <v>0.39066693363636362</v>
      </c>
      <c r="AT21"/>
      <c r="AU21" s="107">
        <v>0</v>
      </c>
      <c r="AV21" s="108">
        <v>0</v>
      </c>
      <c r="AW21" s="108">
        <v>0</v>
      </c>
      <c r="AX21" s="108">
        <v>0</v>
      </c>
      <c r="AY21"/>
      <c r="AZ21" s="107">
        <v>1.2638240600000001</v>
      </c>
      <c r="BA21" s="108">
        <v>0.20600813000000001</v>
      </c>
      <c r="BB21" s="108">
        <v>0.78643911</v>
      </c>
      <c r="BC21" s="108">
        <v>1.2845053700000002</v>
      </c>
      <c r="BD21"/>
      <c r="BE21" s="107">
        <v>0</v>
      </c>
      <c r="BF21" s="108">
        <v>2.97150888</v>
      </c>
      <c r="BG21" s="108">
        <v>1.3258273899999999</v>
      </c>
      <c r="BH21" s="108">
        <v>0</v>
      </c>
    </row>
    <row r="22" spans="2:60" x14ac:dyDescent="0.2">
      <c r="B22" s="344"/>
      <c r="D22" s="348" t="s">
        <v>122</v>
      </c>
      <c r="E22" s="95" t="s">
        <v>193</v>
      </c>
      <c r="F22" s="96">
        <v>0</v>
      </c>
      <c r="G22" s="96">
        <v>0</v>
      </c>
      <c r="H22" s="96">
        <v>0</v>
      </c>
      <c r="I22" s="96">
        <v>0</v>
      </c>
      <c r="J22" s="96">
        <v>0</v>
      </c>
      <c r="K22" s="96">
        <v>0</v>
      </c>
      <c r="L22" s="96">
        <v>0</v>
      </c>
      <c r="M22" s="96">
        <v>0</v>
      </c>
      <c r="N22" s="96">
        <v>0</v>
      </c>
      <c r="O22" s="96">
        <v>0</v>
      </c>
      <c r="P22" s="96">
        <v>0</v>
      </c>
      <c r="Q22" s="96">
        <v>0</v>
      </c>
      <c r="R22" s="109">
        <v>321</v>
      </c>
      <c r="S22" s="109">
        <v>309</v>
      </c>
      <c r="T22" s="109">
        <v>313</v>
      </c>
      <c r="U22" s="109">
        <v>235</v>
      </c>
      <c r="V22" s="109">
        <v>216</v>
      </c>
      <c r="W22" s="109">
        <v>273</v>
      </c>
      <c r="X22" s="109">
        <v>311</v>
      </c>
      <c r="Y22" s="109">
        <v>291</v>
      </c>
      <c r="Z22" s="109">
        <v>383</v>
      </c>
      <c r="AA22" s="109">
        <v>376</v>
      </c>
      <c r="AB22" s="109">
        <v>352</v>
      </c>
      <c r="AC22" s="109">
        <v>341</v>
      </c>
      <c r="AD22" s="109">
        <v>289</v>
      </c>
      <c r="AE22" s="109">
        <v>277</v>
      </c>
      <c r="AF22" s="109">
        <v>247</v>
      </c>
      <c r="AG22" s="109">
        <v>226</v>
      </c>
      <c r="AH22" s="109">
        <v>209</v>
      </c>
      <c r="AI22" s="109">
        <v>228</v>
      </c>
      <c r="AJ22" s="109">
        <v>239</v>
      </c>
      <c r="AK22" s="109">
        <v>245</v>
      </c>
      <c r="AL22" s="109">
        <v>274</v>
      </c>
      <c r="AM22" s="109">
        <v>247</v>
      </c>
      <c r="AN22" s="109">
        <v>205</v>
      </c>
      <c r="AO22" s="109">
        <v>0</v>
      </c>
      <c r="AP22" s="110">
        <v>-42</v>
      </c>
      <c r="AQ22" s="110">
        <v>0</v>
      </c>
      <c r="AR22" s="110">
        <v>310.08333333333331</v>
      </c>
      <c r="AS22" s="111">
        <v>223.83333333333334</v>
      </c>
      <c r="AT22" s="7"/>
      <c r="AU22" s="100">
        <v>0</v>
      </c>
      <c r="AV22" s="101">
        <v>0</v>
      </c>
      <c r="AW22" s="101">
        <v>0</v>
      </c>
      <c r="AX22" s="101">
        <v>0</v>
      </c>
      <c r="AY22" s="7"/>
      <c r="AZ22" s="100">
        <v>943</v>
      </c>
      <c r="BA22" s="101">
        <v>724</v>
      </c>
      <c r="BB22" s="101">
        <v>985</v>
      </c>
      <c r="BC22" s="101">
        <v>1069</v>
      </c>
      <c r="BD22" s="7"/>
      <c r="BE22" s="100">
        <v>813</v>
      </c>
      <c r="BF22" s="101">
        <v>663</v>
      </c>
      <c r="BG22" s="101">
        <v>758</v>
      </c>
      <c r="BH22" s="101">
        <v>452</v>
      </c>
    </row>
    <row r="23" spans="2:60" ht="16" thickBot="1" x14ac:dyDescent="0.25">
      <c r="B23" s="344"/>
      <c r="D23" s="346"/>
      <c r="E23" s="102" t="s">
        <v>194</v>
      </c>
      <c r="F23" s="112">
        <v>0</v>
      </c>
      <c r="G23" s="112">
        <v>0</v>
      </c>
      <c r="H23" s="112">
        <v>0</v>
      </c>
      <c r="I23" s="112">
        <v>0</v>
      </c>
      <c r="J23" s="112">
        <v>0</v>
      </c>
      <c r="K23" s="112">
        <v>0</v>
      </c>
      <c r="L23" s="112">
        <v>0</v>
      </c>
      <c r="M23" s="112">
        <v>0</v>
      </c>
      <c r="N23" s="112">
        <v>0</v>
      </c>
      <c r="O23" s="112">
        <v>0</v>
      </c>
      <c r="P23" s="112">
        <v>0</v>
      </c>
      <c r="Q23" s="112">
        <v>0</v>
      </c>
      <c r="R23" s="113">
        <v>7.1892486900000003</v>
      </c>
      <c r="S23" s="113">
        <v>7.8036596799999991</v>
      </c>
      <c r="T23" s="113">
        <v>7.5741786800000011</v>
      </c>
      <c r="U23" s="113">
        <v>14.929442270000003</v>
      </c>
      <c r="V23" s="113">
        <v>4.7687187300000007</v>
      </c>
      <c r="W23" s="113">
        <v>17.690745749999998</v>
      </c>
      <c r="X23" s="113">
        <v>7.6983748500000004</v>
      </c>
      <c r="Y23" s="113">
        <v>7.3914603799999989</v>
      </c>
      <c r="Z23" s="113">
        <v>10.847599320000002</v>
      </c>
      <c r="AA23" s="113">
        <v>9.1038584099999991</v>
      </c>
      <c r="AB23" s="113">
        <v>12.790578849999999</v>
      </c>
      <c r="AC23" s="113">
        <v>13.083331550000002</v>
      </c>
      <c r="AD23" s="113">
        <v>9.5704988899999996</v>
      </c>
      <c r="AE23" s="113">
        <v>8.7659901499999968</v>
      </c>
      <c r="AF23" s="113">
        <v>9.2398261399999981</v>
      </c>
      <c r="AG23" s="113">
        <v>8.0593813600000015</v>
      </c>
      <c r="AH23" s="113">
        <v>7.42266914</v>
      </c>
      <c r="AI23" s="113">
        <v>16.453172460000001</v>
      </c>
      <c r="AJ23" s="113">
        <v>15.159979679999998</v>
      </c>
      <c r="AK23" s="113">
        <v>9.6902091399999986</v>
      </c>
      <c r="AL23" s="113">
        <v>14.963108810000001</v>
      </c>
      <c r="AM23" s="113">
        <v>7.9635645599999982</v>
      </c>
      <c r="AN23" s="113">
        <v>10.39888685</v>
      </c>
      <c r="AO23" s="113">
        <v>0</v>
      </c>
      <c r="AP23" s="105">
        <v>2.435322290000002</v>
      </c>
      <c r="AQ23" s="105">
        <v>0</v>
      </c>
      <c r="AR23" s="105">
        <v>10.072599763333335</v>
      </c>
      <c r="AS23" s="106">
        <v>9.8072739316666659</v>
      </c>
      <c r="AT23"/>
      <c r="AU23" s="107">
        <v>0</v>
      </c>
      <c r="AV23" s="108">
        <v>0</v>
      </c>
      <c r="AW23" s="108">
        <v>0</v>
      </c>
      <c r="AX23" s="108">
        <v>0</v>
      </c>
      <c r="AY23"/>
      <c r="AZ23" s="107">
        <v>22.567087049999998</v>
      </c>
      <c r="BA23" s="108">
        <v>37.388906750000004</v>
      </c>
      <c r="BB23" s="108">
        <v>25.937434549999999</v>
      </c>
      <c r="BC23" s="108">
        <v>34.977768810000001</v>
      </c>
      <c r="BD23"/>
      <c r="BE23" s="107">
        <v>27.576315179999995</v>
      </c>
      <c r="BF23" s="108">
        <v>31.935222960000004</v>
      </c>
      <c r="BG23" s="108">
        <v>39.813297629999994</v>
      </c>
      <c r="BH23" s="108">
        <v>18.362451409999998</v>
      </c>
    </row>
    <row r="25" spans="2:60" ht="16" thickBot="1" x14ac:dyDescent="0.25">
      <c r="D25" s="92" t="s">
        <v>198</v>
      </c>
      <c r="E25" s="93"/>
      <c r="F25" s="90">
        <v>44562</v>
      </c>
      <c r="G25" s="90">
        <v>44593</v>
      </c>
      <c r="H25" s="90">
        <v>44621</v>
      </c>
      <c r="I25" s="90">
        <v>44652</v>
      </c>
      <c r="J25" s="90">
        <v>44682</v>
      </c>
      <c r="K25" s="90">
        <v>44713</v>
      </c>
      <c r="L25" s="90">
        <v>44743</v>
      </c>
      <c r="M25" s="90">
        <v>44774</v>
      </c>
      <c r="N25" s="90">
        <v>44805</v>
      </c>
      <c r="O25" s="90">
        <v>44835</v>
      </c>
      <c r="P25" s="90">
        <v>44866</v>
      </c>
      <c r="Q25" s="90">
        <v>44896</v>
      </c>
      <c r="R25" s="90">
        <v>44927</v>
      </c>
      <c r="S25" s="90">
        <v>44958</v>
      </c>
      <c r="T25" s="90">
        <v>44986</v>
      </c>
      <c r="U25" s="90">
        <v>45017</v>
      </c>
      <c r="V25" s="90">
        <v>45047</v>
      </c>
      <c r="W25" s="90">
        <v>45078</v>
      </c>
      <c r="X25" s="90">
        <v>45108</v>
      </c>
      <c r="Y25" s="90">
        <v>45139</v>
      </c>
      <c r="Z25" s="90">
        <v>45170</v>
      </c>
      <c r="AA25" s="90">
        <v>45200</v>
      </c>
      <c r="AB25" s="90">
        <v>45231</v>
      </c>
      <c r="AC25" s="90">
        <v>45261</v>
      </c>
      <c r="AD25" s="90">
        <v>45292</v>
      </c>
      <c r="AE25" s="90">
        <v>45323</v>
      </c>
      <c r="AF25" s="90">
        <v>45352</v>
      </c>
      <c r="AG25" s="90">
        <v>45383</v>
      </c>
      <c r="AH25" s="90">
        <v>45413</v>
      </c>
      <c r="AI25" s="90">
        <v>45444</v>
      </c>
      <c r="AJ25" s="90">
        <v>45474</v>
      </c>
      <c r="AK25" s="90">
        <v>45505</v>
      </c>
      <c r="AL25" s="90">
        <v>45536</v>
      </c>
      <c r="AM25" s="90">
        <v>45566</v>
      </c>
      <c r="AN25" s="90">
        <v>45597</v>
      </c>
      <c r="AO25" s="90">
        <v>45627</v>
      </c>
      <c r="AP25" s="91" t="s">
        <v>175</v>
      </c>
      <c r="AQ25" s="91" t="s">
        <v>176</v>
      </c>
      <c r="AR25" s="91" t="s">
        <v>177</v>
      </c>
      <c r="AS25" s="91" t="s">
        <v>178</v>
      </c>
      <c r="AT25" s="94"/>
      <c r="AU25" s="91" t="s">
        <v>179</v>
      </c>
      <c r="AV25" s="91" t="s">
        <v>180</v>
      </c>
      <c r="AW25" s="91" t="s">
        <v>181</v>
      </c>
      <c r="AX25" s="91" t="s">
        <v>182</v>
      </c>
      <c r="AY25" s="94"/>
      <c r="AZ25" s="91" t="s">
        <v>183</v>
      </c>
      <c r="BA25" s="91" t="s">
        <v>184</v>
      </c>
      <c r="BB25" s="91" t="s">
        <v>185</v>
      </c>
      <c r="BC25" s="91" t="s">
        <v>186</v>
      </c>
      <c r="BD25" s="94"/>
      <c r="BE25" s="91" t="s">
        <v>187</v>
      </c>
      <c r="BF25" s="91" t="s">
        <v>188</v>
      </c>
      <c r="BG25" s="91" t="s">
        <v>189</v>
      </c>
      <c r="BH25" s="91" t="s">
        <v>190</v>
      </c>
    </row>
    <row r="26" spans="2:60" ht="14.5" customHeight="1" x14ac:dyDescent="0.2">
      <c r="B26" s="344" t="s">
        <v>15</v>
      </c>
      <c r="D26" s="345" t="s">
        <v>27</v>
      </c>
      <c r="E26" s="95" t="s">
        <v>193</v>
      </c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7">
        <v>86</v>
      </c>
      <c r="S26" s="97">
        <v>65</v>
      </c>
      <c r="T26" s="97">
        <v>189</v>
      </c>
      <c r="U26" s="97">
        <v>169</v>
      </c>
      <c r="V26" s="97">
        <v>40</v>
      </c>
      <c r="W26" s="97">
        <v>63</v>
      </c>
      <c r="X26" s="97">
        <v>41</v>
      </c>
      <c r="Y26" s="97">
        <v>43</v>
      </c>
      <c r="Z26" s="97">
        <v>42</v>
      </c>
      <c r="AA26" s="97">
        <v>38</v>
      </c>
      <c r="AB26" s="97">
        <v>35</v>
      </c>
      <c r="AC26" s="97">
        <v>58</v>
      </c>
      <c r="AD26" s="97">
        <v>33</v>
      </c>
      <c r="AE26" s="97">
        <v>36</v>
      </c>
      <c r="AF26" s="97">
        <v>47</v>
      </c>
      <c r="AG26" s="97">
        <v>37</v>
      </c>
      <c r="AH26" s="97">
        <v>51</v>
      </c>
      <c r="AI26" s="97">
        <v>40</v>
      </c>
      <c r="AJ26" s="97">
        <v>47</v>
      </c>
      <c r="AK26" s="97">
        <v>33</v>
      </c>
      <c r="AL26" s="97">
        <v>67</v>
      </c>
      <c r="AM26" s="97">
        <v>55</v>
      </c>
      <c r="AN26" s="97">
        <v>52</v>
      </c>
      <c r="AO26" s="97"/>
      <c r="AP26" s="98">
        <v>-3</v>
      </c>
      <c r="AQ26" s="98" t="e">
        <v>#DIV/0!</v>
      </c>
      <c r="AR26" s="98">
        <v>72.416666666666671</v>
      </c>
      <c r="AS26" s="99">
        <v>45.272727272727273</v>
      </c>
      <c r="AT26" s="7"/>
      <c r="AU26" s="100">
        <v>0</v>
      </c>
      <c r="AV26" s="101">
        <v>0</v>
      </c>
      <c r="AW26" s="101">
        <v>0</v>
      </c>
      <c r="AX26" s="101">
        <v>0</v>
      </c>
      <c r="AY26" s="7"/>
      <c r="AZ26" s="100">
        <v>340</v>
      </c>
      <c r="BA26" s="101">
        <v>272</v>
      </c>
      <c r="BB26" s="101">
        <v>126</v>
      </c>
      <c r="BC26" s="101">
        <v>131</v>
      </c>
      <c r="BD26" s="7"/>
      <c r="BE26" s="100">
        <v>116</v>
      </c>
      <c r="BF26" s="101">
        <v>128</v>
      </c>
      <c r="BG26" s="101">
        <v>147</v>
      </c>
      <c r="BH26" s="101">
        <v>107</v>
      </c>
    </row>
    <row r="27" spans="2:60" ht="16" thickBot="1" x14ac:dyDescent="0.25">
      <c r="B27" s="344"/>
      <c r="D27" s="346"/>
      <c r="E27" s="102" t="s">
        <v>194</v>
      </c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4">
        <v>155.10081044999995</v>
      </c>
      <c r="S27" s="104">
        <v>153.78493052000002</v>
      </c>
      <c r="T27" s="104">
        <v>419.50851300999994</v>
      </c>
      <c r="U27" s="104">
        <v>303.99129592999992</v>
      </c>
      <c r="V27" s="104">
        <v>53.83658097</v>
      </c>
      <c r="W27" s="104">
        <v>92.119349909999997</v>
      </c>
      <c r="X27" s="104">
        <v>83.035955969999975</v>
      </c>
      <c r="Y27" s="104">
        <v>67.07438873000001</v>
      </c>
      <c r="Z27" s="104">
        <v>67.106766960000002</v>
      </c>
      <c r="AA27" s="104">
        <v>61.894208840000012</v>
      </c>
      <c r="AB27" s="104">
        <v>46.377028620000004</v>
      </c>
      <c r="AC27" s="104">
        <v>114.11421676999996</v>
      </c>
      <c r="AD27" s="104">
        <v>81.170592220000003</v>
      </c>
      <c r="AE27" s="104">
        <v>79.931282379999999</v>
      </c>
      <c r="AF27" s="104">
        <v>111.43656484999997</v>
      </c>
      <c r="AG27" s="104">
        <v>90.834425629999984</v>
      </c>
      <c r="AH27" s="104">
        <v>154.56614989999997</v>
      </c>
      <c r="AI27" s="104">
        <v>113.68954242</v>
      </c>
      <c r="AJ27" s="104">
        <v>95.68990617999998</v>
      </c>
      <c r="AK27" s="104">
        <v>68.389610160000018</v>
      </c>
      <c r="AL27" s="104">
        <v>146.75416424000002</v>
      </c>
      <c r="AM27" s="104">
        <v>169.13702425</v>
      </c>
      <c r="AN27" s="104">
        <v>151.13011683999997</v>
      </c>
      <c r="AO27" s="104"/>
      <c r="AP27" s="105">
        <v>-18.006907410000025</v>
      </c>
      <c r="AQ27" s="105" t="e">
        <v>#DIV/0!</v>
      </c>
      <c r="AR27" s="105">
        <v>134.82867055666665</v>
      </c>
      <c r="AS27" s="106">
        <v>114.79357991545454</v>
      </c>
      <c r="AT27"/>
      <c r="AU27" s="107">
        <v>0</v>
      </c>
      <c r="AV27" s="108">
        <v>0</v>
      </c>
      <c r="AW27" s="108">
        <v>0</v>
      </c>
      <c r="AX27" s="108">
        <v>0</v>
      </c>
      <c r="AY27"/>
      <c r="AZ27" s="107">
        <v>728.39425397999992</v>
      </c>
      <c r="BA27" s="108">
        <v>449.9472268099999</v>
      </c>
      <c r="BB27" s="108">
        <v>217.21711166</v>
      </c>
      <c r="BC27" s="108">
        <v>222.38545422999997</v>
      </c>
      <c r="BD27"/>
      <c r="BE27" s="107">
        <v>272.53843944999994</v>
      </c>
      <c r="BF27" s="108">
        <v>359.09011794999998</v>
      </c>
      <c r="BG27" s="108">
        <v>310.83368058000002</v>
      </c>
      <c r="BH27" s="108">
        <v>320.26714109</v>
      </c>
    </row>
    <row r="28" spans="2:60" x14ac:dyDescent="0.2">
      <c r="B28" s="344"/>
      <c r="D28" s="347" t="s">
        <v>25</v>
      </c>
      <c r="E28" s="95" t="s">
        <v>193</v>
      </c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7">
        <v>274</v>
      </c>
      <c r="S28" s="97">
        <v>302</v>
      </c>
      <c r="T28" s="97">
        <v>330</v>
      </c>
      <c r="U28" s="97">
        <v>311</v>
      </c>
      <c r="V28" s="97">
        <v>235</v>
      </c>
      <c r="W28" s="97">
        <v>290</v>
      </c>
      <c r="X28" s="97">
        <v>426</v>
      </c>
      <c r="Y28" s="97">
        <v>412</v>
      </c>
      <c r="Z28" s="97">
        <v>485</v>
      </c>
      <c r="AA28" s="97">
        <v>553</v>
      </c>
      <c r="AB28" s="97">
        <v>615</v>
      </c>
      <c r="AC28" s="97">
        <v>753</v>
      </c>
      <c r="AD28" s="97">
        <v>421</v>
      </c>
      <c r="AE28" s="97">
        <v>296</v>
      </c>
      <c r="AF28" s="97">
        <v>300</v>
      </c>
      <c r="AG28" s="97">
        <v>245</v>
      </c>
      <c r="AH28" s="97">
        <v>219</v>
      </c>
      <c r="AI28" s="97">
        <v>136</v>
      </c>
      <c r="AJ28" s="97">
        <v>163</v>
      </c>
      <c r="AK28" s="97">
        <v>102</v>
      </c>
      <c r="AL28" s="97">
        <v>102</v>
      </c>
      <c r="AM28" s="97">
        <v>113</v>
      </c>
      <c r="AN28" s="97">
        <v>63</v>
      </c>
      <c r="AO28" s="97"/>
      <c r="AP28" s="98">
        <v>-50</v>
      </c>
      <c r="AQ28" s="98" t="e">
        <v>#DIV/0!</v>
      </c>
      <c r="AR28" s="98">
        <v>415.5</v>
      </c>
      <c r="AS28" s="99">
        <v>196.36363636363637</v>
      </c>
      <c r="AT28" s="7"/>
      <c r="AU28" s="100">
        <v>0</v>
      </c>
      <c r="AV28" s="101">
        <v>0</v>
      </c>
      <c r="AW28" s="101">
        <v>0</v>
      </c>
      <c r="AX28" s="101">
        <v>0</v>
      </c>
      <c r="AY28" s="7"/>
      <c r="AZ28" s="100">
        <v>906</v>
      </c>
      <c r="BA28" s="101">
        <v>836</v>
      </c>
      <c r="BB28" s="101">
        <v>1323</v>
      </c>
      <c r="BC28" s="101">
        <v>1921</v>
      </c>
      <c r="BD28" s="7"/>
      <c r="BE28" s="100">
        <v>1017</v>
      </c>
      <c r="BF28" s="101">
        <v>600</v>
      </c>
      <c r="BG28" s="101">
        <v>367</v>
      </c>
      <c r="BH28" s="101">
        <v>176</v>
      </c>
    </row>
    <row r="29" spans="2:60" ht="16" thickBot="1" x14ac:dyDescent="0.25">
      <c r="B29" s="344"/>
      <c r="D29" s="346"/>
      <c r="E29" s="102" t="s">
        <v>194</v>
      </c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4">
        <v>2.97106468</v>
      </c>
      <c r="S29" s="104">
        <v>2.5814629099999986</v>
      </c>
      <c r="T29" s="104">
        <v>3.4700444900000003</v>
      </c>
      <c r="U29" s="104">
        <v>2.9826213899999967</v>
      </c>
      <c r="V29" s="104">
        <v>2.0798650200000006</v>
      </c>
      <c r="W29" s="104">
        <v>2.5165911699999972</v>
      </c>
      <c r="X29" s="104">
        <v>4.3503275000000032</v>
      </c>
      <c r="Y29" s="104">
        <v>5.8630886399999991</v>
      </c>
      <c r="Z29" s="104">
        <v>7.5063604999999756</v>
      </c>
      <c r="AA29" s="104">
        <v>9.0833122000000017</v>
      </c>
      <c r="AB29" s="104">
        <v>17.248986850000044</v>
      </c>
      <c r="AC29" s="104">
        <v>29.323586709999969</v>
      </c>
      <c r="AD29" s="104">
        <v>10.081311949999996</v>
      </c>
      <c r="AE29" s="104">
        <v>4.4137931499999983</v>
      </c>
      <c r="AF29" s="104">
        <v>5.6198299700000014</v>
      </c>
      <c r="AG29" s="104">
        <v>4.2727969199999993</v>
      </c>
      <c r="AH29" s="104">
        <v>3.7051755899999992</v>
      </c>
      <c r="AI29" s="104">
        <v>3.116085540000002</v>
      </c>
      <c r="AJ29" s="104">
        <v>2.756542989999998</v>
      </c>
      <c r="AK29" s="104">
        <v>1.7781999299999995</v>
      </c>
      <c r="AL29" s="104">
        <v>2.4484658600000007</v>
      </c>
      <c r="AM29" s="104">
        <v>2.8570767899999994</v>
      </c>
      <c r="AN29" s="104">
        <v>1.6693333399999999</v>
      </c>
      <c r="AO29" s="104"/>
      <c r="AP29" s="105">
        <v>-1.1877434499999995</v>
      </c>
      <c r="AQ29" s="105" t="e">
        <v>#DIV/0!</v>
      </c>
      <c r="AR29" s="105">
        <v>7.4981093383333324</v>
      </c>
      <c r="AS29" s="106">
        <v>3.8835101845454543</v>
      </c>
      <c r="AT29"/>
      <c r="AU29" s="107">
        <v>0</v>
      </c>
      <c r="AV29" s="108">
        <v>0</v>
      </c>
      <c r="AW29" s="108">
        <v>0</v>
      </c>
      <c r="AX29" s="108">
        <v>0</v>
      </c>
      <c r="AY29"/>
      <c r="AZ29" s="107">
        <v>9.0225720799999998</v>
      </c>
      <c r="BA29" s="108">
        <v>7.5790775799999945</v>
      </c>
      <c r="BB29" s="108">
        <v>17.719776639999978</v>
      </c>
      <c r="BC29" s="108">
        <v>55.655885760000018</v>
      </c>
      <c r="BD29"/>
      <c r="BE29" s="107">
        <v>20.114935069999994</v>
      </c>
      <c r="BF29" s="108">
        <v>11.094058050000001</v>
      </c>
      <c r="BG29" s="108">
        <v>6.9832087799999982</v>
      </c>
      <c r="BH29" s="108">
        <v>4.5264101299999995</v>
      </c>
    </row>
    <row r="30" spans="2:60" x14ac:dyDescent="0.2">
      <c r="B30" s="344"/>
      <c r="D30" s="348" t="s">
        <v>195</v>
      </c>
      <c r="E30" s="95" t="s">
        <v>193</v>
      </c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8">
        <v>0</v>
      </c>
      <c r="AQ30" s="98" t="e">
        <v>#DIV/0!</v>
      </c>
      <c r="AR30" s="98" t="e">
        <v>#DIV/0!</v>
      </c>
      <c r="AS30" s="99" t="e">
        <v>#DIV/0!</v>
      </c>
      <c r="AT30" s="7"/>
      <c r="AU30" s="100">
        <v>0</v>
      </c>
      <c r="AV30" s="101">
        <v>0</v>
      </c>
      <c r="AW30" s="101">
        <v>0</v>
      </c>
      <c r="AX30" s="101">
        <v>0</v>
      </c>
      <c r="AY30" s="7"/>
      <c r="AZ30" s="100">
        <v>0</v>
      </c>
      <c r="BA30" s="101">
        <v>0</v>
      </c>
      <c r="BB30" s="101">
        <v>0</v>
      </c>
      <c r="BC30" s="101">
        <v>0</v>
      </c>
      <c r="BD30" s="7"/>
      <c r="BE30" s="100">
        <v>0</v>
      </c>
      <c r="BF30" s="101">
        <v>0</v>
      </c>
      <c r="BG30" s="101">
        <v>0</v>
      </c>
      <c r="BH30" s="101">
        <v>0</v>
      </c>
    </row>
    <row r="31" spans="2:60" ht="16" thickBot="1" x14ac:dyDescent="0.25">
      <c r="B31" s="344"/>
      <c r="D31" s="346"/>
      <c r="E31" s="102" t="s">
        <v>194</v>
      </c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>
        <v>0</v>
      </c>
      <c r="AQ31" s="105" t="e">
        <v>#DIV/0!</v>
      </c>
      <c r="AR31" s="105" t="e">
        <v>#DIV/0!</v>
      </c>
      <c r="AS31" s="106" t="e">
        <v>#DIV/0!</v>
      </c>
      <c r="AT31"/>
      <c r="AU31" s="107">
        <v>0</v>
      </c>
      <c r="AV31" s="108">
        <v>0</v>
      </c>
      <c r="AW31" s="108">
        <v>0</v>
      </c>
      <c r="AX31" s="108">
        <v>0</v>
      </c>
      <c r="AY31"/>
      <c r="AZ31" s="107">
        <v>0</v>
      </c>
      <c r="BA31" s="108">
        <v>0</v>
      </c>
      <c r="BB31" s="108">
        <v>0</v>
      </c>
      <c r="BC31" s="108">
        <v>0</v>
      </c>
      <c r="BD31"/>
      <c r="BE31" s="107">
        <v>0</v>
      </c>
      <c r="BF31" s="108">
        <v>0</v>
      </c>
      <c r="BG31" s="108">
        <v>0</v>
      </c>
      <c r="BH31" s="108">
        <v>0</v>
      </c>
    </row>
    <row r="32" spans="2:60" x14ac:dyDescent="0.2">
      <c r="B32" s="344"/>
      <c r="D32" s="348" t="s">
        <v>122</v>
      </c>
      <c r="E32" s="95" t="s">
        <v>193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  <c r="N32" s="96">
        <v>0</v>
      </c>
      <c r="O32" s="96">
        <v>0</v>
      </c>
      <c r="P32" s="96">
        <v>0</v>
      </c>
      <c r="Q32" s="96">
        <v>0</v>
      </c>
      <c r="R32" s="109">
        <v>360</v>
      </c>
      <c r="S32" s="109">
        <v>367</v>
      </c>
      <c r="T32" s="109">
        <v>519</v>
      </c>
      <c r="U32" s="109">
        <v>480</v>
      </c>
      <c r="V32" s="109">
        <v>275</v>
      </c>
      <c r="W32" s="109">
        <v>353</v>
      </c>
      <c r="X32" s="109">
        <v>467</v>
      </c>
      <c r="Y32" s="109">
        <v>455</v>
      </c>
      <c r="Z32" s="109">
        <v>527</v>
      </c>
      <c r="AA32" s="109">
        <v>591</v>
      </c>
      <c r="AB32" s="109">
        <v>650</v>
      </c>
      <c r="AC32" s="109">
        <v>811</v>
      </c>
      <c r="AD32" s="109">
        <v>454</v>
      </c>
      <c r="AE32" s="109">
        <v>332</v>
      </c>
      <c r="AF32" s="109">
        <v>347</v>
      </c>
      <c r="AG32" s="109">
        <v>282</v>
      </c>
      <c r="AH32" s="109">
        <v>270</v>
      </c>
      <c r="AI32" s="109">
        <v>176</v>
      </c>
      <c r="AJ32" s="109">
        <v>210</v>
      </c>
      <c r="AK32" s="109">
        <v>135</v>
      </c>
      <c r="AL32" s="109">
        <v>169</v>
      </c>
      <c r="AM32" s="109">
        <v>168</v>
      </c>
      <c r="AN32" s="109">
        <v>115</v>
      </c>
      <c r="AO32" s="109">
        <v>0</v>
      </c>
      <c r="AP32" s="110">
        <v>-53</v>
      </c>
      <c r="AQ32" s="110">
        <v>0</v>
      </c>
      <c r="AR32" s="110">
        <v>487.91666666666669</v>
      </c>
      <c r="AS32" s="111">
        <v>221.5</v>
      </c>
      <c r="AT32" s="7"/>
      <c r="AU32" s="100">
        <v>0</v>
      </c>
      <c r="AV32" s="101">
        <v>0</v>
      </c>
      <c r="AW32" s="101">
        <v>0</v>
      </c>
      <c r="AX32" s="101">
        <v>0</v>
      </c>
      <c r="AY32" s="7"/>
      <c r="AZ32" s="100">
        <v>1246</v>
      </c>
      <c r="BA32" s="101">
        <v>1108</v>
      </c>
      <c r="BB32" s="101">
        <v>1449</v>
      </c>
      <c r="BC32" s="101">
        <v>2052</v>
      </c>
      <c r="BD32" s="7"/>
      <c r="BE32" s="100">
        <v>1133</v>
      </c>
      <c r="BF32" s="101">
        <v>728</v>
      </c>
      <c r="BG32" s="101">
        <v>514</v>
      </c>
      <c r="BH32" s="101">
        <v>283</v>
      </c>
    </row>
    <row r="33" spans="2:60" ht="16" thickBot="1" x14ac:dyDescent="0.25">
      <c r="B33" s="344"/>
      <c r="D33" s="346"/>
      <c r="E33" s="102" t="s">
        <v>194</v>
      </c>
      <c r="F33" s="112">
        <v>0</v>
      </c>
      <c r="G33" s="112">
        <v>0</v>
      </c>
      <c r="H33" s="112">
        <v>0</v>
      </c>
      <c r="I33" s="112">
        <v>0</v>
      </c>
      <c r="J33" s="112">
        <v>0</v>
      </c>
      <c r="K33" s="112">
        <v>0</v>
      </c>
      <c r="L33" s="112">
        <v>0</v>
      </c>
      <c r="M33" s="112">
        <v>0</v>
      </c>
      <c r="N33" s="112">
        <v>0</v>
      </c>
      <c r="O33" s="112">
        <v>0</v>
      </c>
      <c r="P33" s="112">
        <v>0</v>
      </c>
      <c r="Q33" s="112">
        <v>0</v>
      </c>
      <c r="R33" s="113">
        <v>158.07187512999997</v>
      </c>
      <c r="S33" s="113">
        <v>156.36639343000002</v>
      </c>
      <c r="T33" s="113">
        <v>422.97855749999997</v>
      </c>
      <c r="U33" s="113">
        <v>306.97391731999994</v>
      </c>
      <c r="V33" s="113">
        <v>55.91644599</v>
      </c>
      <c r="W33" s="113">
        <v>94.635941079999995</v>
      </c>
      <c r="X33" s="113">
        <v>87.386283469999981</v>
      </c>
      <c r="Y33" s="113">
        <v>72.937477370000011</v>
      </c>
      <c r="Z33" s="113">
        <v>74.613127459999973</v>
      </c>
      <c r="AA33" s="113">
        <v>70.977521040000013</v>
      </c>
      <c r="AB33" s="113">
        <v>63.626015470000048</v>
      </c>
      <c r="AC33" s="113">
        <v>143.43780347999993</v>
      </c>
      <c r="AD33" s="113">
        <v>91.251904170000003</v>
      </c>
      <c r="AE33" s="113">
        <v>84.345075530000003</v>
      </c>
      <c r="AF33" s="113">
        <v>117.05639481999997</v>
      </c>
      <c r="AG33" s="113">
        <v>95.107222549999989</v>
      </c>
      <c r="AH33" s="113">
        <v>158.27132548999998</v>
      </c>
      <c r="AI33" s="113">
        <v>116.80562796</v>
      </c>
      <c r="AJ33" s="113">
        <v>98.44644916999998</v>
      </c>
      <c r="AK33" s="113">
        <v>70.167810090000017</v>
      </c>
      <c r="AL33" s="113">
        <v>149.20263010000002</v>
      </c>
      <c r="AM33" s="113">
        <v>171.99410104</v>
      </c>
      <c r="AN33" s="113">
        <v>152.79945017999998</v>
      </c>
      <c r="AO33" s="113">
        <v>0</v>
      </c>
      <c r="AP33" s="105">
        <v>-19.194650860000024</v>
      </c>
      <c r="AQ33" s="105">
        <v>0</v>
      </c>
      <c r="AR33" s="105">
        <v>142.32677989500004</v>
      </c>
      <c r="AS33" s="106">
        <v>108.78733259166665</v>
      </c>
      <c r="AT33"/>
      <c r="AU33" s="107">
        <v>0</v>
      </c>
      <c r="AV33" s="108">
        <v>0</v>
      </c>
      <c r="AW33" s="108">
        <v>0</v>
      </c>
      <c r="AX33" s="108">
        <v>0</v>
      </c>
      <c r="AY33"/>
      <c r="AZ33" s="107">
        <v>737.41682605999995</v>
      </c>
      <c r="BA33" s="108">
        <v>457.52630438999995</v>
      </c>
      <c r="BB33" s="108">
        <v>234.93688829999996</v>
      </c>
      <c r="BC33" s="108">
        <v>278.04133998999998</v>
      </c>
      <c r="BD33"/>
      <c r="BE33" s="107">
        <v>292.65337452</v>
      </c>
      <c r="BF33" s="108">
        <v>370.18417599999998</v>
      </c>
      <c r="BG33" s="108">
        <v>317.81688936</v>
      </c>
      <c r="BH33" s="108">
        <v>324.79355121999998</v>
      </c>
    </row>
    <row r="35" spans="2:60" x14ac:dyDescent="0.2">
      <c r="D35" s="114" t="s">
        <v>199</v>
      </c>
    </row>
    <row r="36" spans="2:60" x14ac:dyDescent="0.2">
      <c r="D36" s="114" t="s">
        <v>200</v>
      </c>
    </row>
  </sheetData>
  <sheetProtection selectLockedCells="1" autoFilter="0" selectUnlockedCells="1"/>
  <mergeCells count="15">
    <mergeCell ref="B16:B23"/>
    <mergeCell ref="D16:D17"/>
    <mergeCell ref="D18:D19"/>
    <mergeCell ref="D20:D21"/>
    <mergeCell ref="D22:D23"/>
    <mergeCell ref="B6:B13"/>
    <mergeCell ref="D6:D7"/>
    <mergeCell ref="D8:D9"/>
    <mergeCell ref="D10:D11"/>
    <mergeCell ref="D12:D13"/>
    <mergeCell ref="B26:B33"/>
    <mergeCell ref="D26:D27"/>
    <mergeCell ref="D28:D29"/>
    <mergeCell ref="D30:D31"/>
    <mergeCell ref="D32:D33"/>
  </mergeCells>
  <printOptions horizontalCentered="1"/>
  <pageMargins left="0.01" right="0.01" top="0.01" bottom="0.01" header="0.3" footer="0.3"/>
  <pageSetup paperSize="8" scale="63" fitToHeight="0" orientation="portrait" r:id="rId1"/>
  <headerFooter>
    <oddHeader>&amp;L&amp;G</oddHeader>
    <oddFooter>&amp;L&amp;A&amp;C&amp;BCIB Confidential&amp;B&amp;RPage &amp;P</oddFooter>
    <evenHeader>&amp;L&amp;G</evenHeader>
    <firstHeader>&amp;R&amp;G</firstHead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4ACA-5FE2-407A-9A06-22D1EE587F43}">
  <dimension ref="A1:P17"/>
  <sheetViews>
    <sheetView workbookViewId="0">
      <selection activeCell="K33" sqref="K33"/>
    </sheetView>
  </sheetViews>
  <sheetFormatPr baseColWidth="10" defaultColWidth="8.83203125" defaultRowHeight="15" x14ac:dyDescent="0.2"/>
  <cols>
    <col min="1" max="1" width="14.83203125" customWidth="1"/>
    <col min="2" max="2" width="15.83203125" customWidth="1"/>
    <col min="3" max="3" width="15.1640625" customWidth="1"/>
    <col min="4" max="4" width="10.1640625" customWidth="1"/>
    <col min="5" max="5" width="10.83203125" customWidth="1"/>
    <col min="9" max="9" width="13.5" customWidth="1"/>
    <col min="10" max="10" width="14.1640625" customWidth="1"/>
    <col min="11" max="11" width="13.83203125" customWidth="1"/>
    <col min="12" max="12" width="10.83203125" customWidth="1"/>
    <col min="13" max="13" width="11.1640625" customWidth="1"/>
  </cols>
  <sheetData>
    <row r="1" spans="1:16" ht="16" thickBot="1" x14ac:dyDescent="0.25">
      <c r="A1" s="352" t="s">
        <v>201</v>
      </c>
      <c r="B1" s="353"/>
      <c r="C1" s="353"/>
      <c r="D1" s="353"/>
      <c r="E1" s="353"/>
      <c r="F1" s="353"/>
      <c r="G1" s="354"/>
      <c r="I1" s="355" t="s">
        <v>202</v>
      </c>
      <c r="J1" s="356"/>
      <c r="K1" s="356"/>
      <c r="L1" s="356"/>
      <c r="M1" s="356"/>
      <c r="N1" s="356"/>
      <c r="O1" s="356"/>
      <c r="P1" s="356"/>
    </row>
    <row r="2" spans="1:16" ht="14.5" customHeight="1" x14ac:dyDescent="0.2">
      <c r="A2" s="246" t="s">
        <v>203</v>
      </c>
      <c r="B2" s="349" t="s">
        <v>204</v>
      </c>
      <c r="C2" s="350"/>
      <c r="D2" s="350"/>
      <c r="E2" s="350"/>
      <c r="F2" s="350"/>
      <c r="G2" s="351"/>
      <c r="I2" s="265" t="s">
        <v>205</v>
      </c>
      <c r="J2" s="266" t="s">
        <v>206</v>
      </c>
      <c r="K2" s="266" t="s">
        <v>207</v>
      </c>
      <c r="L2" s="266" t="s">
        <v>208</v>
      </c>
      <c r="M2" s="266" t="s">
        <v>209</v>
      </c>
      <c r="N2" s="266" t="s">
        <v>210</v>
      </c>
      <c r="O2" s="266" t="s">
        <v>211</v>
      </c>
      <c r="P2" s="267" t="s">
        <v>212</v>
      </c>
    </row>
    <row r="3" spans="1:16" ht="16" x14ac:dyDescent="0.2">
      <c r="A3" s="247" t="s">
        <v>213</v>
      </c>
      <c r="B3" s="243" t="s">
        <v>214</v>
      </c>
      <c r="C3" s="243" t="s">
        <v>215</v>
      </c>
      <c r="D3" s="243" t="s">
        <v>216</v>
      </c>
      <c r="E3" s="243" t="s">
        <v>217</v>
      </c>
      <c r="F3" s="243" t="s">
        <v>218</v>
      </c>
      <c r="G3" s="248" t="s">
        <v>122</v>
      </c>
      <c r="I3" s="268" t="s">
        <v>16</v>
      </c>
      <c r="J3" s="264">
        <v>29541</v>
      </c>
      <c r="K3" s="264">
        <v>11549</v>
      </c>
      <c r="L3" s="264">
        <v>2907</v>
      </c>
      <c r="M3" s="264">
        <v>1750</v>
      </c>
      <c r="N3" s="264">
        <v>639</v>
      </c>
      <c r="O3" s="264">
        <v>1541</v>
      </c>
      <c r="P3" s="269">
        <v>47927</v>
      </c>
    </row>
    <row r="4" spans="1:16" ht="16" x14ac:dyDescent="0.2">
      <c r="A4" s="249" t="s">
        <v>214</v>
      </c>
      <c r="B4" s="244">
        <v>3.0800000000000001E-2</v>
      </c>
      <c r="C4" s="245">
        <v>4.0099999999999997E-2</v>
      </c>
      <c r="D4" s="245">
        <v>9.4999999999999998E-3</v>
      </c>
      <c r="E4" s="245">
        <v>4.8999999999999998E-3</v>
      </c>
      <c r="F4" s="245">
        <v>4.8999999999999998E-3</v>
      </c>
      <c r="G4" s="250">
        <v>9.0200000000000002E-2</v>
      </c>
      <c r="I4" s="268" t="s">
        <v>219</v>
      </c>
      <c r="J4" s="264">
        <v>6709</v>
      </c>
      <c r="K4" s="264">
        <v>5603</v>
      </c>
      <c r="L4" s="264">
        <v>1723</v>
      </c>
      <c r="M4" s="264">
        <v>1273</v>
      </c>
      <c r="N4" s="264">
        <v>484</v>
      </c>
      <c r="O4" s="264">
        <v>992</v>
      </c>
      <c r="P4" s="269">
        <v>16784</v>
      </c>
    </row>
    <row r="5" spans="1:16" ht="16" x14ac:dyDescent="0.2">
      <c r="A5" s="249" t="s">
        <v>215</v>
      </c>
      <c r="B5" s="244">
        <v>0.1172</v>
      </c>
      <c r="C5" s="244">
        <v>0.1956</v>
      </c>
      <c r="D5" s="245">
        <v>5.9400000000000001E-2</v>
      </c>
      <c r="E5" s="245">
        <v>3.3500000000000002E-2</v>
      </c>
      <c r="F5" s="245">
        <v>3.49E-2</v>
      </c>
      <c r="G5" s="250">
        <v>0.44059999999999999</v>
      </c>
      <c r="I5" s="268" t="s">
        <v>220</v>
      </c>
      <c r="J5" s="264">
        <v>5898</v>
      </c>
      <c r="K5" s="264">
        <v>4958</v>
      </c>
      <c r="L5" s="264">
        <v>1222</v>
      </c>
      <c r="M5" s="264">
        <v>679</v>
      </c>
      <c r="N5" s="264">
        <v>252</v>
      </c>
      <c r="O5" s="264">
        <v>633</v>
      </c>
      <c r="P5" s="269">
        <v>13642</v>
      </c>
    </row>
    <row r="6" spans="1:16" ht="16" x14ac:dyDescent="0.2">
      <c r="A6" s="249" t="s">
        <v>216</v>
      </c>
      <c r="B6" s="244">
        <v>3.78E-2</v>
      </c>
      <c r="C6" s="244">
        <v>7.7200000000000005E-2</v>
      </c>
      <c r="D6" s="244">
        <v>3.3000000000000002E-2</v>
      </c>
      <c r="E6" s="245">
        <v>2.0299999999999999E-2</v>
      </c>
      <c r="F6" s="245">
        <v>2.1600000000000001E-2</v>
      </c>
      <c r="G6" s="250">
        <v>0.1898</v>
      </c>
      <c r="I6" s="268" t="s">
        <v>221</v>
      </c>
      <c r="J6" s="264">
        <v>4097</v>
      </c>
      <c r="K6" s="264">
        <v>3403</v>
      </c>
      <c r="L6" s="264">
        <v>1001</v>
      </c>
      <c r="M6" s="264">
        <v>575</v>
      </c>
      <c r="N6" s="264">
        <v>233</v>
      </c>
      <c r="O6" s="264">
        <v>611</v>
      </c>
      <c r="P6" s="269">
        <v>9920</v>
      </c>
    </row>
    <row r="7" spans="1:16" ht="16" x14ac:dyDescent="0.2">
      <c r="A7" s="249" t="s">
        <v>217</v>
      </c>
      <c r="B7" s="244">
        <v>2.0199999999999999E-2</v>
      </c>
      <c r="C7" s="244">
        <v>5.3800000000000001E-2</v>
      </c>
      <c r="D7" s="244">
        <v>2.8199999999999999E-2</v>
      </c>
      <c r="E7" s="244">
        <v>1.9400000000000001E-2</v>
      </c>
      <c r="F7" s="245">
        <v>2.3599999999999999E-2</v>
      </c>
      <c r="G7" s="250">
        <v>0.1452</v>
      </c>
      <c r="I7" s="268" t="s">
        <v>222</v>
      </c>
      <c r="J7" s="264">
        <v>814</v>
      </c>
      <c r="K7" s="264">
        <v>702</v>
      </c>
      <c r="L7" s="264">
        <v>200</v>
      </c>
      <c r="M7" s="264">
        <v>138</v>
      </c>
      <c r="N7" s="264">
        <v>71</v>
      </c>
      <c r="O7" s="264">
        <v>150</v>
      </c>
      <c r="P7" s="269">
        <v>2075</v>
      </c>
    </row>
    <row r="8" spans="1:16" ht="16" x14ac:dyDescent="0.2">
      <c r="A8" s="249" t="s">
        <v>218</v>
      </c>
      <c r="B8" s="244">
        <v>1.4500000000000001E-2</v>
      </c>
      <c r="C8" s="244">
        <v>3.5499999999999997E-2</v>
      </c>
      <c r="D8" s="244">
        <v>2.47E-2</v>
      </c>
      <c r="E8" s="244">
        <v>2.1999999999999999E-2</v>
      </c>
      <c r="F8" s="244">
        <v>3.7499999999999999E-2</v>
      </c>
      <c r="G8" s="250">
        <v>0.13420000000000001</v>
      </c>
      <c r="I8" s="268" t="s">
        <v>223</v>
      </c>
      <c r="J8" s="264">
        <v>338</v>
      </c>
      <c r="K8" s="264">
        <v>292</v>
      </c>
      <c r="L8" s="264">
        <v>89</v>
      </c>
      <c r="M8" s="264">
        <v>67</v>
      </c>
      <c r="N8" s="264">
        <v>24</v>
      </c>
      <c r="O8" s="264">
        <v>74</v>
      </c>
      <c r="P8" s="269">
        <v>884</v>
      </c>
    </row>
    <row r="9" spans="1:16" ht="17" thickBot="1" x14ac:dyDescent="0.25">
      <c r="A9" s="251" t="s">
        <v>122</v>
      </c>
      <c r="B9" s="252">
        <v>0.22040000000000001</v>
      </c>
      <c r="C9" s="252">
        <v>0.4022</v>
      </c>
      <c r="D9" s="252">
        <v>0.15479999999999999</v>
      </c>
      <c r="E9" s="252">
        <v>0.10009999999999999</v>
      </c>
      <c r="F9" s="252">
        <v>0.12239999999999999</v>
      </c>
      <c r="G9" s="253">
        <v>1</v>
      </c>
      <c r="I9" s="268" t="s">
        <v>224</v>
      </c>
      <c r="J9" s="264">
        <v>121</v>
      </c>
      <c r="K9" s="264">
        <v>113</v>
      </c>
      <c r="L9" s="264">
        <v>32</v>
      </c>
      <c r="M9" s="264">
        <v>18</v>
      </c>
      <c r="N9" s="264">
        <v>10</v>
      </c>
      <c r="O9" s="264">
        <v>40</v>
      </c>
      <c r="P9" s="269">
        <v>334</v>
      </c>
    </row>
    <row r="10" spans="1:16" ht="16" thickBot="1" x14ac:dyDescent="0.25">
      <c r="I10" s="270" t="s">
        <v>122</v>
      </c>
      <c r="J10" s="271">
        <v>47518</v>
      </c>
      <c r="K10" s="271">
        <v>26620</v>
      </c>
      <c r="L10" s="271">
        <v>7174</v>
      </c>
      <c r="M10" s="271">
        <v>4500</v>
      </c>
      <c r="N10" s="271">
        <v>1713</v>
      </c>
      <c r="O10" s="271">
        <v>4041</v>
      </c>
      <c r="P10" s="272">
        <v>91566</v>
      </c>
    </row>
    <row r="12" spans="1:16" ht="16" thickBot="1" x14ac:dyDescent="0.25"/>
    <row r="13" spans="1:16" ht="13" customHeight="1" x14ac:dyDescent="0.2">
      <c r="A13" s="255" t="s">
        <v>225</v>
      </c>
      <c r="B13" s="256" t="s">
        <v>226</v>
      </c>
      <c r="C13" s="256" t="s">
        <v>227</v>
      </c>
      <c r="D13" s="256" t="s">
        <v>228</v>
      </c>
      <c r="E13" s="257" t="s">
        <v>229</v>
      </c>
      <c r="I13" s="255" t="s">
        <v>225</v>
      </c>
      <c r="J13" s="256" t="s">
        <v>230</v>
      </c>
      <c r="K13" s="256" t="s">
        <v>231</v>
      </c>
      <c r="L13" s="256" t="s">
        <v>232</v>
      </c>
      <c r="M13" s="257" t="s">
        <v>233</v>
      </c>
    </row>
    <row r="14" spans="1:16" ht="16" x14ac:dyDescent="0.2">
      <c r="A14" s="258" t="s">
        <v>234</v>
      </c>
      <c r="B14" s="254">
        <v>20442</v>
      </c>
      <c r="C14" s="254">
        <v>54</v>
      </c>
      <c r="D14" s="12">
        <v>56</v>
      </c>
      <c r="E14" s="261">
        <v>5</v>
      </c>
      <c r="I14" s="258" t="s">
        <v>235</v>
      </c>
      <c r="J14" s="254">
        <v>20442</v>
      </c>
      <c r="K14" s="254">
        <v>54</v>
      </c>
      <c r="L14" s="12"/>
      <c r="M14" s="261"/>
    </row>
    <row r="15" spans="1:16" ht="16" x14ac:dyDescent="0.2">
      <c r="A15" s="258" t="s">
        <v>236</v>
      </c>
      <c r="B15" s="254">
        <v>178</v>
      </c>
      <c r="C15" s="254">
        <v>11</v>
      </c>
      <c r="D15" s="12">
        <v>15</v>
      </c>
      <c r="E15" s="261">
        <v>10</v>
      </c>
      <c r="I15" s="258" t="s">
        <v>237</v>
      </c>
      <c r="J15" s="254"/>
      <c r="K15" s="254"/>
      <c r="L15" s="12"/>
      <c r="M15" s="261"/>
    </row>
    <row r="16" spans="1:16" ht="16" x14ac:dyDescent="0.2">
      <c r="A16" s="258" t="s">
        <v>238</v>
      </c>
      <c r="B16" s="254">
        <v>200</v>
      </c>
      <c r="C16" s="254">
        <v>12</v>
      </c>
      <c r="D16" s="12">
        <v>1</v>
      </c>
      <c r="E16" s="261">
        <v>21</v>
      </c>
      <c r="I16" s="258"/>
      <c r="J16" s="254"/>
      <c r="K16" s="254"/>
      <c r="L16" s="12"/>
      <c r="M16" s="261"/>
    </row>
    <row r="17" spans="1:13" ht="17" thickBot="1" x14ac:dyDescent="0.25">
      <c r="A17" s="259" t="s">
        <v>239</v>
      </c>
      <c r="B17" s="260">
        <v>50</v>
      </c>
      <c r="C17" s="260">
        <v>8</v>
      </c>
      <c r="D17" s="262">
        <v>5</v>
      </c>
      <c r="E17" s="263">
        <v>11</v>
      </c>
      <c r="I17" s="259"/>
      <c r="J17" s="260"/>
      <c r="K17" s="260"/>
      <c r="L17" s="262"/>
      <c r="M17" s="263"/>
    </row>
  </sheetData>
  <mergeCells count="3">
    <mergeCell ref="B2:G2"/>
    <mergeCell ref="A1:G1"/>
    <mergeCell ref="I1:P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056E-17BD-4781-8238-361A5D9F8E9E}">
  <dimension ref="A2:C15"/>
  <sheetViews>
    <sheetView workbookViewId="0">
      <selection activeCell="H8" sqref="H8"/>
    </sheetView>
  </sheetViews>
  <sheetFormatPr baseColWidth="10" defaultColWidth="8.83203125" defaultRowHeight="15" x14ac:dyDescent="0.2"/>
  <cols>
    <col min="1" max="1" width="21.83203125" bestFit="1" customWidth="1"/>
  </cols>
  <sheetData>
    <row r="2" spans="1:3" ht="16" thickBot="1" x14ac:dyDescent="0.25"/>
    <row r="3" spans="1:3" ht="15" customHeight="1" thickBot="1" x14ac:dyDescent="0.25">
      <c r="A3" s="128" t="s">
        <v>106</v>
      </c>
      <c r="B3" s="126">
        <v>45748</v>
      </c>
      <c r="C3" s="127">
        <v>45778</v>
      </c>
    </row>
    <row r="4" spans="1:3" ht="14.5" customHeight="1" x14ac:dyDescent="0.2">
      <c r="A4" s="125" t="s">
        <v>240</v>
      </c>
      <c r="B4" s="115">
        <v>20034</v>
      </c>
      <c r="C4" s="115">
        <v>20005</v>
      </c>
    </row>
    <row r="5" spans="1:3" ht="14.5" customHeight="1" x14ac:dyDescent="0.2">
      <c r="A5" s="120" t="s">
        <v>241</v>
      </c>
      <c r="B5" s="116">
        <v>20154</v>
      </c>
      <c r="C5" s="116">
        <v>20289</v>
      </c>
    </row>
    <row r="6" spans="1:3" x14ac:dyDescent="0.2">
      <c r="A6" s="121" t="s">
        <v>242</v>
      </c>
      <c r="B6" s="117">
        <v>18950</v>
      </c>
      <c r="C6" s="117">
        <v>18319</v>
      </c>
    </row>
    <row r="7" spans="1:3" x14ac:dyDescent="0.2">
      <c r="A7" s="121" t="s">
        <v>243</v>
      </c>
      <c r="B7" s="117">
        <v>5682.5749638499965</v>
      </c>
      <c r="C7" s="117">
        <v>4918.9346140000007</v>
      </c>
    </row>
    <row r="8" spans="1:3" x14ac:dyDescent="0.2">
      <c r="A8" s="121" t="s">
        <v>244</v>
      </c>
      <c r="B8" s="117">
        <v>519</v>
      </c>
      <c r="C8" s="117">
        <v>930</v>
      </c>
    </row>
    <row r="9" spans="1:3" x14ac:dyDescent="0.2">
      <c r="A9" s="122" t="s">
        <v>245</v>
      </c>
      <c r="B9" s="117">
        <v>685</v>
      </c>
      <c r="C9" s="117">
        <v>1040</v>
      </c>
    </row>
    <row r="10" spans="1:3" x14ac:dyDescent="0.2">
      <c r="A10" s="120" t="s">
        <v>246</v>
      </c>
      <c r="B10" s="115">
        <v>0.94024503126800185</v>
      </c>
      <c r="C10" s="115">
        <v>0.90924887590824888</v>
      </c>
    </row>
    <row r="11" spans="1:3" x14ac:dyDescent="0.2">
      <c r="A11" s="122" t="s">
        <v>247</v>
      </c>
      <c r="B11" s="118">
        <v>2.5591464672819055E-2</v>
      </c>
      <c r="C11" s="118">
        <v>4.0919131881709654E-2</v>
      </c>
    </row>
    <row r="12" spans="1:3" x14ac:dyDescent="0.2">
      <c r="A12" s="120" t="s">
        <v>248</v>
      </c>
      <c r="B12" s="115">
        <v>6067.8489784699968</v>
      </c>
      <c r="C12" s="115">
        <v>5598.5411944300013</v>
      </c>
    </row>
    <row r="13" spans="1:3" x14ac:dyDescent="0.2">
      <c r="A13" s="120" t="s">
        <v>249</v>
      </c>
      <c r="B13" s="115">
        <v>4817.3298484400011</v>
      </c>
      <c r="C13" s="115">
        <v>4023.6312654900039</v>
      </c>
    </row>
    <row r="14" spans="1:3" x14ac:dyDescent="0.2">
      <c r="A14" s="123" t="s">
        <v>250</v>
      </c>
      <c r="B14" s="117">
        <v>18616</v>
      </c>
      <c r="C14" s="117">
        <v>17821</v>
      </c>
    </row>
    <row r="15" spans="1:3" x14ac:dyDescent="0.2">
      <c r="A15" s="124" t="s">
        <v>251</v>
      </c>
      <c r="B15" s="119">
        <v>0.97570907055239198</v>
      </c>
      <c r="C15" s="119">
        <v>0.97597747085463726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A68C7-6494-4A2C-A650-438F3E88D049}">
  <dimension ref="A1:W18"/>
  <sheetViews>
    <sheetView workbookViewId="0">
      <selection activeCell="V11" sqref="V11"/>
    </sheetView>
  </sheetViews>
  <sheetFormatPr baseColWidth="10" defaultColWidth="8.83203125" defaultRowHeight="15" x14ac:dyDescent="0.2"/>
  <sheetData>
    <row r="1" spans="1:23" ht="16" thickBot="1" x14ac:dyDescent="0.25">
      <c r="A1" s="352" t="s">
        <v>252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  <c r="S1" s="353"/>
      <c r="T1" s="353"/>
      <c r="U1" s="353"/>
      <c r="V1" s="353"/>
      <c r="W1" s="354"/>
    </row>
    <row r="2" spans="1:23" ht="24" thickBot="1" x14ac:dyDescent="0.25">
      <c r="A2" s="360" t="s">
        <v>253</v>
      </c>
      <c r="B2" s="360"/>
      <c r="C2" s="360"/>
      <c r="D2" s="360"/>
      <c r="E2" s="360"/>
      <c r="F2" s="360"/>
      <c r="G2" s="360"/>
      <c r="H2" s="129"/>
      <c r="I2" s="360" t="s">
        <v>254</v>
      </c>
      <c r="J2" s="360"/>
      <c r="K2" s="360"/>
      <c r="L2" s="360"/>
      <c r="M2" s="360"/>
      <c r="N2" s="360"/>
      <c r="O2" s="360"/>
      <c r="P2" s="129"/>
      <c r="Q2" s="360" t="s">
        <v>255</v>
      </c>
      <c r="R2" s="360"/>
      <c r="S2" s="360"/>
      <c r="T2" s="360"/>
      <c r="U2" s="360"/>
      <c r="V2" s="360"/>
      <c r="W2" s="360"/>
    </row>
    <row r="3" spans="1:23" ht="25" thickBot="1" x14ac:dyDescent="0.25">
      <c r="A3" s="357" t="s">
        <v>256</v>
      </c>
      <c r="B3" s="358"/>
      <c r="C3" s="358"/>
      <c r="D3" s="358"/>
      <c r="E3" s="358"/>
      <c r="F3" s="358"/>
      <c r="G3" s="359"/>
      <c r="H3" s="130"/>
      <c r="I3" s="357" t="s">
        <v>256</v>
      </c>
      <c r="J3" s="358"/>
      <c r="K3" s="358"/>
      <c r="L3" s="358"/>
      <c r="M3" s="358"/>
      <c r="N3" s="358"/>
      <c r="O3" s="359"/>
      <c r="P3" s="130"/>
      <c r="Q3" s="357" t="s">
        <v>256</v>
      </c>
      <c r="R3" s="358"/>
      <c r="S3" s="358"/>
      <c r="T3" s="358"/>
      <c r="U3" s="358"/>
      <c r="V3" s="358"/>
      <c r="W3" s="359"/>
    </row>
    <row r="4" spans="1:23" ht="28" thickBot="1" x14ac:dyDescent="0.25">
      <c r="A4" s="131" t="s">
        <v>257</v>
      </c>
      <c r="B4" s="132" t="s">
        <v>258</v>
      </c>
      <c r="C4" s="132" t="s">
        <v>259</v>
      </c>
      <c r="D4" s="132" t="s">
        <v>260</v>
      </c>
      <c r="E4" s="132" t="s">
        <v>261</v>
      </c>
      <c r="F4" s="132" t="s">
        <v>262</v>
      </c>
      <c r="G4" s="133" t="s">
        <v>263</v>
      </c>
      <c r="H4" s="130"/>
      <c r="I4" s="131" t="s">
        <v>257</v>
      </c>
      <c r="J4" s="132" t="s">
        <v>258</v>
      </c>
      <c r="K4" s="132" t="s">
        <v>259</v>
      </c>
      <c r="L4" s="132" t="s">
        <v>260</v>
      </c>
      <c r="M4" s="132" t="s">
        <v>261</v>
      </c>
      <c r="N4" s="132" t="s">
        <v>262</v>
      </c>
      <c r="O4" s="133" t="s">
        <v>263</v>
      </c>
      <c r="P4" s="130"/>
      <c r="Q4" s="131" t="s">
        <v>257</v>
      </c>
      <c r="R4" s="132" t="s">
        <v>258</v>
      </c>
      <c r="S4" s="132" t="s">
        <v>259</v>
      </c>
      <c r="T4" s="132" t="s">
        <v>260</v>
      </c>
      <c r="U4" s="132" t="s">
        <v>261</v>
      </c>
      <c r="V4" s="132" t="s">
        <v>262</v>
      </c>
      <c r="W4" s="133" t="s">
        <v>263</v>
      </c>
    </row>
    <row r="5" spans="1:23" ht="23" x14ac:dyDescent="0.2">
      <c r="A5" s="134" t="s">
        <v>264</v>
      </c>
      <c r="B5" s="135">
        <v>4.2999999999999997E-2</v>
      </c>
      <c r="C5" s="135">
        <v>3.3000000000000002E-2</v>
      </c>
      <c r="D5" s="135">
        <v>0.03</v>
      </c>
      <c r="E5" s="135">
        <v>3.4000000000000002E-2</v>
      </c>
      <c r="F5" s="135">
        <v>3.5000000000000003E-2</v>
      </c>
      <c r="G5" s="136">
        <v>0.03</v>
      </c>
      <c r="H5" s="130"/>
      <c r="I5" s="134" t="s">
        <v>264</v>
      </c>
      <c r="J5" s="135">
        <v>8.9999999999999993E-3</v>
      </c>
      <c r="K5" s="135">
        <v>0.03</v>
      </c>
      <c r="L5" s="135">
        <v>4.9000000000000002E-2</v>
      </c>
      <c r="M5" s="135">
        <v>3.5999999999999997E-2</v>
      </c>
      <c r="N5" s="135">
        <v>1.7999999999999999E-2</v>
      </c>
      <c r="O5" s="137"/>
      <c r="P5" s="130"/>
      <c r="Q5" s="134" t="s">
        <v>264</v>
      </c>
      <c r="R5" s="135">
        <v>2.1000000000000001E-2</v>
      </c>
      <c r="S5" s="135">
        <v>1.7999999999999999E-2</v>
      </c>
      <c r="T5" s="135">
        <v>1.9E-2</v>
      </c>
      <c r="U5" s="135">
        <v>1.6E-2</v>
      </c>
      <c r="V5" s="135">
        <v>2.3E-2</v>
      </c>
      <c r="W5" s="136">
        <v>1.2E-2</v>
      </c>
    </row>
    <row r="6" spans="1:23" ht="23" x14ac:dyDescent="0.2">
      <c r="A6" s="138" t="s">
        <v>265</v>
      </c>
      <c r="B6" s="139">
        <v>2.1000000000000001E-2</v>
      </c>
      <c r="C6" s="139">
        <v>4.3999999999999997E-2</v>
      </c>
      <c r="D6" s="139">
        <v>4.3999999999999997E-2</v>
      </c>
      <c r="E6" s="139">
        <v>3.6999999999999998E-2</v>
      </c>
      <c r="F6" s="139">
        <v>5.1999999999999998E-2</v>
      </c>
      <c r="G6" s="140">
        <v>4.5999999999999999E-2</v>
      </c>
      <c r="H6" s="130"/>
      <c r="I6" s="138" t="s">
        <v>265</v>
      </c>
      <c r="J6" s="139">
        <v>3.5999999999999997E-2</v>
      </c>
      <c r="K6" s="139">
        <v>0</v>
      </c>
      <c r="L6" s="139">
        <v>1E-3</v>
      </c>
      <c r="M6" s="139">
        <v>2.1999999999999999E-2</v>
      </c>
      <c r="N6" s="139">
        <v>4.8000000000000001E-2</v>
      </c>
      <c r="O6" s="140">
        <v>1.9E-2</v>
      </c>
      <c r="P6" s="130"/>
      <c r="Q6" s="138" t="s">
        <v>265</v>
      </c>
      <c r="R6" s="139">
        <v>4.2999999999999997E-2</v>
      </c>
      <c r="S6" s="139">
        <v>3.5000000000000003E-2</v>
      </c>
      <c r="T6" s="139">
        <v>1.2E-2</v>
      </c>
      <c r="U6" s="139">
        <v>0.01</v>
      </c>
      <c r="V6" s="139">
        <v>2.4E-2</v>
      </c>
      <c r="W6" s="140">
        <v>4.2999999999999997E-2</v>
      </c>
    </row>
    <row r="7" spans="1:23" ht="23" x14ac:dyDescent="0.2">
      <c r="A7" s="138" t="s">
        <v>266</v>
      </c>
      <c r="B7" s="139">
        <v>2.7E-2</v>
      </c>
      <c r="C7" s="139">
        <v>1.7999999999999999E-2</v>
      </c>
      <c r="D7" s="139">
        <v>2.1999999999999999E-2</v>
      </c>
      <c r="E7" s="139">
        <v>2.5000000000000001E-2</v>
      </c>
      <c r="F7" s="139">
        <v>2.4E-2</v>
      </c>
      <c r="G7" s="140">
        <v>2.5999999999999999E-2</v>
      </c>
      <c r="H7" s="130"/>
      <c r="I7" s="138" t="s">
        <v>266</v>
      </c>
      <c r="J7" s="139">
        <v>1.2999999999999999E-2</v>
      </c>
      <c r="K7" s="139">
        <v>2.1000000000000001E-2</v>
      </c>
      <c r="L7" s="139">
        <v>1.9E-2</v>
      </c>
      <c r="M7" s="139">
        <v>1.2E-2</v>
      </c>
      <c r="N7" s="139">
        <v>1.6E-2</v>
      </c>
      <c r="O7" s="140">
        <v>1.4999999999999999E-2</v>
      </c>
      <c r="P7" s="130"/>
      <c r="Q7" s="138" t="s">
        <v>266</v>
      </c>
      <c r="R7" s="139">
        <v>1.4E-2</v>
      </c>
      <c r="S7" s="139">
        <v>1.4999999999999999E-2</v>
      </c>
      <c r="T7" s="139">
        <v>2.1999999999999999E-2</v>
      </c>
      <c r="U7" s="139">
        <v>1.7999999999999999E-2</v>
      </c>
      <c r="V7" s="139">
        <v>1.6E-2</v>
      </c>
      <c r="W7" s="140">
        <v>1.2999999999999999E-2</v>
      </c>
    </row>
    <row r="8" spans="1:23" ht="23" x14ac:dyDescent="0.2">
      <c r="A8" s="138" t="s">
        <v>267</v>
      </c>
      <c r="B8" s="141">
        <v>1.7000000000000001E-2</v>
      </c>
      <c r="C8" s="141">
        <v>1.4E-2</v>
      </c>
      <c r="D8" s="141">
        <v>1.4999999999999999E-2</v>
      </c>
      <c r="E8" s="141">
        <v>1.4999999999999999E-2</v>
      </c>
      <c r="F8" s="141">
        <v>1.6E-2</v>
      </c>
      <c r="G8" s="142">
        <v>1.7000000000000001E-2</v>
      </c>
      <c r="H8" s="130"/>
      <c r="I8" s="138" t="s">
        <v>267</v>
      </c>
      <c r="J8" s="141">
        <v>6.0000000000000001E-3</v>
      </c>
      <c r="K8" s="141">
        <v>7.0000000000000001E-3</v>
      </c>
      <c r="L8" s="141">
        <v>8.0000000000000002E-3</v>
      </c>
      <c r="M8" s="141">
        <v>4.0000000000000001E-3</v>
      </c>
      <c r="N8" s="141">
        <v>5.0000000000000001E-3</v>
      </c>
      <c r="O8" s="142">
        <v>8.0000000000000002E-3</v>
      </c>
      <c r="P8" s="130"/>
      <c r="Q8" s="138" t="s">
        <v>267</v>
      </c>
      <c r="R8" s="141">
        <v>1.4999999999999999E-2</v>
      </c>
      <c r="S8" s="141">
        <v>1.0999999999999999E-2</v>
      </c>
      <c r="T8" s="141">
        <v>1.4999999999999999E-2</v>
      </c>
      <c r="U8" s="141">
        <v>8.0000000000000002E-3</v>
      </c>
      <c r="V8" s="141">
        <v>1.4999999999999999E-2</v>
      </c>
      <c r="W8" s="142">
        <v>1.2E-2</v>
      </c>
    </row>
    <row r="9" spans="1:23" ht="23" x14ac:dyDescent="0.2">
      <c r="A9" s="138" t="s">
        <v>268</v>
      </c>
      <c r="B9" s="139">
        <v>1.0999999999999999E-2</v>
      </c>
      <c r="C9" s="139">
        <v>1.4E-2</v>
      </c>
      <c r="D9" s="139">
        <v>1.9E-2</v>
      </c>
      <c r="E9" s="139">
        <v>1.6E-2</v>
      </c>
      <c r="F9" s="139">
        <v>1.4999999999999999E-2</v>
      </c>
      <c r="G9" s="140">
        <v>1.7999999999999999E-2</v>
      </c>
      <c r="H9" s="130"/>
      <c r="I9" s="138" t="s">
        <v>268</v>
      </c>
      <c r="J9" s="139">
        <v>9.7000000000000003E-2</v>
      </c>
      <c r="K9" s="139">
        <v>0</v>
      </c>
      <c r="L9" s="139">
        <v>2E-3</v>
      </c>
      <c r="M9" s="139">
        <v>1.9E-2</v>
      </c>
      <c r="N9" s="139">
        <v>1.7999999999999999E-2</v>
      </c>
      <c r="O9" s="140">
        <v>8.0000000000000002E-3</v>
      </c>
      <c r="P9" s="130"/>
      <c r="Q9" s="138" t="s">
        <v>268</v>
      </c>
      <c r="R9" s="139">
        <v>8.9999999999999993E-3</v>
      </c>
      <c r="S9" s="139">
        <v>1.0999999999999999E-2</v>
      </c>
      <c r="T9" s="139">
        <v>0.01</v>
      </c>
      <c r="U9" s="139">
        <v>1.2E-2</v>
      </c>
      <c r="V9" s="139">
        <v>1.0999999999999999E-2</v>
      </c>
      <c r="W9" s="140">
        <v>8.0000000000000002E-3</v>
      </c>
    </row>
    <row r="10" spans="1:23" ht="24" thickBot="1" x14ac:dyDescent="0.25">
      <c r="A10" s="143" t="s">
        <v>269</v>
      </c>
      <c r="B10" s="144">
        <v>2.4E-2</v>
      </c>
      <c r="C10" s="144">
        <v>1.9E-2</v>
      </c>
      <c r="D10" s="144">
        <v>0.02</v>
      </c>
      <c r="E10" s="144">
        <v>2.1999999999999999E-2</v>
      </c>
      <c r="F10" s="144">
        <v>2.1999999999999999E-2</v>
      </c>
      <c r="G10" s="145">
        <v>2.3E-2</v>
      </c>
      <c r="H10" s="130"/>
      <c r="I10" s="143" t="s">
        <v>269</v>
      </c>
      <c r="J10" s="144">
        <v>1.2999999999999999E-2</v>
      </c>
      <c r="K10" s="144">
        <v>1.4999999999999999E-2</v>
      </c>
      <c r="L10" s="144">
        <v>1.4999999999999999E-2</v>
      </c>
      <c r="M10" s="144">
        <v>0.01</v>
      </c>
      <c r="N10" s="144">
        <v>1.2E-2</v>
      </c>
      <c r="O10" s="145">
        <v>1.0999999999999999E-2</v>
      </c>
      <c r="P10" s="130"/>
      <c r="Q10" s="143" t="s">
        <v>269</v>
      </c>
      <c r="R10" s="144">
        <v>1.6E-2</v>
      </c>
      <c r="S10" s="144">
        <v>1.4E-2</v>
      </c>
      <c r="T10" s="144">
        <v>1.7999999999999999E-2</v>
      </c>
      <c r="U10" s="144">
        <v>1.4E-2</v>
      </c>
      <c r="V10" s="144">
        <v>1.6E-2</v>
      </c>
      <c r="W10" s="145">
        <v>1.4E-2</v>
      </c>
    </row>
    <row r="11" spans="1:23" ht="24" thickBot="1" x14ac:dyDescent="0.25">
      <c r="A11" s="146"/>
      <c r="B11" s="146"/>
      <c r="C11" s="146"/>
      <c r="D11" s="146"/>
      <c r="E11" s="146"/>
      <c r="F11" s="146"/>
      <c r="G11" s="146"/>
      <c r="H11" s="129"/>
      <c r="I11" s="146"/>
      <c r="J11" s="146"/>
      <c r="K11" s="146"/>
      <c r="L11" s="146"/>
      <c r="M11" s="146"/>
      <c r="N11" s="146"/>
      <c r="O11" s="146"/>
      <c r="P11" s="129"/>
      <c r="Q11" s="146"/>
      <c r="R11" s="146"/>
      <c r="S11" s="146"/>
      <c r="T11" s="146"/>
      <c r="U11" s="146"/>
      <c r="V11" s="146"/>
      <c r="W11" s="146"/>
    </row>
    <row r="12" spans="1:23" ht="25" thickBot="1" x14ac:dyDescent="0.25">
      <c r="A12" s="357" t="s">
        <v>270</v>
      </c>
      <c r="B12" s="358"/>
      <c r="C12" s="358"/>
      <c r="D12" s="358"/>
      <c r="E12" s="358"/>
      <c r="F12" s="358"/>
      <c r="G12" s="359"/>
      <c r="H12" s="130"/>
      <c r="I12" s="357" t="s">
        <v>270</v>
      </c>
      <c r="J12" s="358"/>
      <c r="K12" s="358"/>
      <c r="L12" s="358"/>
      <c r="M12" s="358"/>
      <c r="N12" s="358"/>
      <c r="O12" s="359"/>
      <c r="P12" s="130"/>
      <c r="Q12" s="357" t="s">
        <v>270</v>
      </c>
      <c r="R12" s="358"/>
      <c r="S12" s="358"/>
      <c r="T12" s="358"/>
      <c r="U12" s="358"/>
      <c r="V12" s="358"/>
      <c r="W12" s="359"/>
    </row>
    <row r="13" spans="1:23" ht="27" x14ac:dyDescent="0.2">
      <c r="A13" s="147" t="s">
        <v>257</v>
      </c>
      <c r="B13" s="148" t="s">
        <v>261</v>
      </c>
      <c r="C13" s="148" t="s">
        <v>262</v>
      </c>
      <c r="D13" s="148" t="s">
        <v>263</v>
      </c>
      <c r="E13" s="148" t="s">
        <v>271</v>
      </c>
      <c r="F13" s="148" t="s">
        <v>272</v>
      </c>
      <c r="G13" s="149" t="s">
        <v>273</v>
      </c>
      <c r="H13" s="130"/>
      <c r="I13" s="147" t="s">
        <v>257</v>
      </c>
      <c r="J13" s="148" t="s">
        <v>261</v>
      </c>
      <c r="K13" s="148" t="s">
        <v>262</v>
      </c>
      <c r="L13" s="148" t="s">
        <v>263</v>
      </c>
      <c r="M13" s="148" t="s">
        <v>271</v>
      </c>
      <c r="N13" s="148" t="s">
        <v>272</v>
      </c>
      <c r="O13" s="149" t="s">
        <v>273</v>
      </c>
      <c r="P13" s="130"/>
      <c r="Q13" s="147" t="s">
        <v>257</v>
      </c>
      <c r="R13" s="148" t="s">
        <v>261</v>
      </c>
      <c r="S13" s="148" t="s">
        <v>262</v>
      </c>
      <c r="T13" s="148" t="s">
        <v>263</v>
      </c>
      <c r="U13" s="148" t="s">
        <v>271</v>
      </c>
      <c r="V13" s="148" t="s">
        <v>272</v>
      </c>
      <c r="W13" s="149" t="s">
        <v>273</v>
      </c>
    </row>
    <row r="14" spans="1:23" ht="23" x14ac:dyDescent="0.2">
      <c r="A14" s="138" t="s">
        <v>264</v>
      </c>
      <c r="B14" s="150">
        <v>0.11</v>
      </c>
      <c r="C14" s="150">
        <v>0.1</v>
      </c>
      <c r="D14" s="150">
        <v>0.1</v>
      </c>
      <c r="E14" s="150">
        <v>0.09</v>
      </c>
      <c r="F14" s="150">
        <v>0.11</v>
      </c>
      <c r="G14" s="151">
        <v>0.09</v>
      </c>
      <c r="H14" s="130"/>
      <c r="I14" s="138" t="s">
        <v>264</v>
      </c>
      <c r="J14" s="150">
        <v>0.04</v>
      </c>
      <c r="K14" s="150">
        <v>0.04</v>
      </c>
      <c r="L14" s="150">
        <v>0.04</v>
      </c>
      <c r="M14" s="150">
        <v>0.04</v>
      </c>
      <c r="N14" s="150">
        <v>0.04</v>
      </c>
      <c r="O14" s="151">
        <v>0.02</v>
      </c>
      <c r="P14" s="130"/>
      <c r="Q14" s="138" t="s">
        <v>264</v>
      </c>
      <c r="R14" s="150">
        <v>7.0000000000000007E-2</v>
      </c>
      <c r="S14" s="150">
        <v>0.03</v>
      </c>
      <c r="T14" s="150">
        <v>0.02</v>
      </c>
      <c r="U14" s="150">
        <v>0.02</v>
      </c>
      <c r="V14" s="150">
        <v>0.04</v>
      </c>
      <c r="W14" s="151">
        <v>0.01</v>
      </c>
    </row>
    <row r="15" spans="1:23" ht="23" x14ac:dyDescent="0.2">
      <c r="A15" s="138" t="s">
        <v>265</v>
      </c>
      <c r="B15" s="150">
        <v>0.02</v>
      </c>
      <c r="C15" s="150">
        <v>0.02</v>
      </c>
      <c r="D15" s="150">
        <v>0.02</v>
      </c>
      <c r="E15" s="150">
        <v>0.03</v>
      </c>
      <c r="F15" s="150">
        <v>0.03</v>
      </c>
      <c r="G15" s="151">
        <v>0.02</v>
      </c>
      <c r="H15" s="130"/>
      <c r="I15" s="138" t="s">
        <v>265</v>
      </c>
      <c r="J15" s="150">
        <v>0.02</v>
      </c>
      <c r="K15" s="150">
        <v>0.02</v>
      </c>
      <c r="L15" s="150">
        <v>0.02</v>
      </c>
      <c r="M15" s="150">
        <v>0.04</v>
      </c>
      <c r="N15" s="150">
        <v>0.02</v>
      </c>
      <c r="O15" s="151">
        <v>0.04</v>
      </c>
      <c r="P15" s="130"/>
      <c r="Q15" s="138" t="s">
        <v>265</v>
      </c>
      <c r="R15" s="150">
        <v>0.03</v>
      </c>
      <c r="S15" s="150">
        <v>0.04</v>
      </c>
      <c r="T15" s="150">
        <v>0.03</v>
      </c>
      <c r="U15" s="150">
        <v>0.04</v>
      </c>
      <c r="V15" s="150">
        <v>0.03</v>
      </c>
      <c r="W15" s="151">
        <v>0.03</v>
      </c>
    </row>
    <row r="16" spans="1:23" ht="23" x14ac:dyDescent="0.2">
      <c r="A16" s="138" t="s">
        <v>266</v>
      </c>
      <c r="B16" s="150">
        <v>0.42</v>
      </c>
      <c r="C16" s="150">
        <v>0.42</v>
      </c>
      <c r="D16" s="150">
        <v>0.43</v>
      </c>
      <c r="E16" s="150">
        <v>0.45</v>
      </c>
      <c r="F16" s="150">
        <v>0.46</v>
      </c>
      <c r="G16" s="151">
        <v>0.45</v>
      </c>
      <c r="H16" s="130"/>
      <c r="I16" s="138" t="s">
        <v>266</v>
      </c>
      <c r="J16" s="150">
        <v>0.48</v>
      </c>
      <c r="K16" s="150">
        <v>0.44</v>
      </c>
      <c r="L16" s="150">
        <v>0.45</v>
      </c>
      <c r="M16" s="150">
        <v>0.47</v>
      </c>
      <c r="N16" s="150">
        <v>0.51</v>
      </c>
      <c r="O16" s="151">
        <v>0.52</v>
      </c>
      <c r="P16" s="130"/>
      <c r="Q16" s="138" t="s">
        <v>266</v>
      </c>
      <c r="R16" s="150">
        <v>0.5</v>
      </c>
      <c r="S16" s="150">
        <v>0.53</v>
      </c>
      <c r="T16" s="150">
        <v>0.54</v>
      </c>
      <c r="U16" s="150">
        <v>0.52</v>
      </c>
      <c r="V16" s="150">
        <v>0.49</v>
      </c>
      <c r="W16" s="151">
        <v>0.48</v>
      </c>
    </row>
    <row r="17" spans="1:23" ht="23" x14ac:dyDescent="0.2">
      <c r="A17" s="138" t="s">
        <v>267</v>
      </c>
      <c r="B17" s="150">
        <v>0.43</v>
      </c>
      <c r="C17" s="150">
        <v>0.42</v>
      </c>
      <c r="D17" s="150">
        <v>0.45</v>
      </c>
      <c r="E17" s="150">
        <v>0.41</v>
      </c>
      <c r="F17" s="150">
        <v>0.4</v>
      </c>
      <c r="G17" s="151">
        <v>0.41</v>
      </c>
      <c r="H17" s="130"/>
      <c r="I17" s="138" t="s">
        <v>267</v>
      </c>
      <c r="J17" s="150">
        <v>0.43</v>
      </c>
      <c r="K17" s="150">
        <v>0.46</v>
      </c>
      <c r="L17" s="150">
        <v>0.48</v>
      </c>
      <c r="M17" s="150">
        <v>0.44</v>
      </c>
      <c r="N17" s="150">
        <v>0.42</v>
      </c>
      <c r="O17" s="151">
        <v>0.4</v>
      </c>
      <c r="P17" s="130"/>
      <c r="Q17" s="138" t="s">
        <v>267</v>
      </c>
      <c r="R17" s="150">
        <v>0.39</v>
      </c>
      <c r="S17" s="150">
        <v>0.37</v>
      </c>
      <c r="T17" s="150">
        <v>0.4</v>
      </c>
      <c r="U17" s="150">
        <v>0.39</v>
      </c>
      <c r="V17" s="150">
        <v>0.43</v>
      </c>
      <c r="W17" s="151">
        <v>0.43</v>
      </c>
    </row>
    <row r="18" spans="1:23" ht="24" thickBot="1" x14ac:dyDescent="0.25">
      <c r="A18" s="152" t="s">
        <v>268</v>
      </c>
      <c r="B18" s="153">
        <v>0.02</v>
      </c>
      <c r="C18" s="153">
        <v>0.03</v>
      </c>
      <c r="D18" s="153">
        <v>0</v>
      </c>
      <c r="E18" s="154">
        <v>0.03</v>
      </c>
      <c r="F18" s="154">
        <v>0.01</v>
      </c>
      <c r="G18" s="155">
        <v>0.03</v>
      </c>
      <c r="H18" s="130"/>
      <c r="I18" s="152" t="s">
        <v>268</v>
      </c>
      <c r="J18" s="153">
        <v>0.03</v>
      </c>
      <c r="K18" s="153">
        <v>0.04</v>
      </c>
      <c r="L18" s="156">
        <v>0</v>
      </c>
      <c r="M18" s="154">
        <v>0.02</v>
      </c>
      <c r="N18" s="154">
        <v>0.01</v>
      </c>
      <c r="O18" s="155">
        <v>0.02</v>
      </c>
      <c r="P18" s="130"/>
      <c r="Q18" s="152" t="s">
        <v>268</v>
      </c>
      <c r="R18" s="153">
        <v>0.02</v>
      </c>
      <c r="S18" s="153">
        <v>0.03</v>
      </c>
      <c r="T18" s="153">
        <v>0</v>
      </c>
      <c r="U18" s="154">
        <v>0.02</v>
      </c>
      <c r="V18" s="154">
        <v>0.01</v>
      </c>
      <c r="W18" s="155">
        <v>0.04</v>
      </c>
    </row>
  </sheetData>
  <mergeCells count="10">
    <mergeCell ref="A12:G12"/>
    <mergeCell ref="I12:O12"/>
    <mergeCell ref="Q12:W12"/>
    <mergeCell ref="A1:W1"/>
    <mergeCell ref="A2:G2"/>
    <mergeCell ref="I2:O2"/>
    <mergeCell ref="Q2:W2"/>
    <mergeCell ref="A3:G3"/>
    <mergeCell ref="I3:O3"/>
    <mergeCell ref="Q3:W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43A1-9C7F-4F62-B350-3E4DA86A9C7E}">
  <dimension ref="A1:DI127"/>
  <sheetViews>
    <sheetView workbookViewId="0">
      <selection activeCell="Q19" sqref="Q19"/>
    </sheetView>
  </sheetViews>
  <sheetFormatPr baseColWidth="10" defaultColWidth="8.83203125" defaultRowHeight="15" x14ac:dyDescent="0.2"/>
  <sheetData>
    <row r="1" spans="1:113" x14ac:dyDescent="0.2">
      <c r="A1" s="362" t="s">
        <v>106</v>
      </c>
      <c r="B1" s="361" t="s">
        <v>274</v>
      </c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R1" s="361" t="s">
        <v>275</v>
      </c>
      <c r="S1" s="361"/>
      <c r="T1" s="361"/>
      <c r="U1" s="361"/>
      <c r="V1" s="361"/>
      <c r="W1" s="361"/>
      <c r="X1" s="361"/>
      <c r="Y1" s="361"/>
      <c r="Z1" s="361"/>
      <c r="AA1" s="361"/>
      <c r="AB1" s="361"/>
      <c r="AC1" s="361"/>
      <c r="AD1" s="361"/>
      <c r="AE1" s="361"/>
      <c r="AF1" s="361"/>
      <c r="AH1" s="361" t="s">
        <v>276</v>
      </c>
      <c r="AI1" s="361"/>
      <c r="AJ1" s="361"/>
      <c r="AK1" s="361"/>
      <c r="AL1" s="361"/>
      <c r="AM1" s="361"/>
      <c r="AN1" s="361"/>
      <c r="AO1" s="361"/>
      <c r="AP1" s="361"/>
      <c r="AQ1" s="361"/>
      <c r="AR1" s="361"/>
      <c r="AS1" s="361"/>
      <c r="AT1" s="361"/>
      <c r="AU1" s="361"/>
      <c r="AV1" s="361"/>
      <c r="AX1" s="361" t="s">
        <v>277</v>
      </c>
      <c r="AY1" s="361"/>
      <c r="AZ1" s="361"/>
      <c r="BA1" s="361"/>
      <c r="BB1" s="361"/>
      <c r="BC1" s="361"/>
      <c r="BD1" s="361"/>
      <c r="BE1" s="361"/>
      <c r="BF1" s="361"/>
      <c r="BG1" s="361"/>
      <c r="BH1" s="361"/>
      <c r="BI1" s="361"/>
      <c r="BJ1" s="361"/>
      <c r="BK1" s="361"/>
      <c r="BL1" s="361"/>
      <c r="BN1" s="361" t="s">
        <v>278</v>
      </c>
      <c r="BO1" s="361"/>
      <c r="BP1" s="361"/>
      <c r="BQ1" s="361"/>
      <c r="BR1" s="361"/>
      <c r="BS1" s="361"/>
      <c r="BT1" s="361"/>
      <c r="BU1" s="361"/>
      <c r="BV1" s="361"/>
      <c r="BW1" s="361"/>
      <c r="BX1" s="361"/>
      <c r="BY1" s="361"/>
      <c r="BZ1" s="361"/>
      <c r="CA1" s="361"/>
      <c r="CB1" s="361"/>
      <c r="CD1" s="361" t="s">
        <v>279</v>
      </c>
      <c r="CE1" s="361"/>
      <c r="CF1" s="361"/>
      <c r="CG1" s="361"/>
      <c r="CH1" s="361"/>
      <c r="CI1" s="361"/>
      <c r="CJ1" s="361"/>
      <c r="CK1" s="361"/>
      <c r="CL1" s="361"/>
      <c r="CM1" s="361"/>
      <c r="CN1" s="361"/>
      <c r="CO1" s="361"/>
      <c r="CP1" s="361"/>
      <c r="CQ1" s="361"/>
      <c r="CR1" s="361"/>
      <c r="CS1" s="361"/>
      <c r="CU1" s="361" t="s">
        <v>280</v>
      </c>
      <c r="CV1" s="361"/>
      <c r="CW1" s="361"/>
      <c r="CX1" s="361"/>
      <c r="CY1" s="361"/>
      <c r="CZ1" s="361"/>
      <c r="DA1" s="361"/>
      <c r="DB1" s="361"/>
      <c r="DC1" s="361"/>
      <c r="DD1" s="361"/>
      <c r="DE1" s="361"/>
      <c r="DF1" s="361"/>
      <c r="DG1" s="361"/>
      <c r="DH1" s="361"/>
      <c r="DI1" s="361"/>
    </row>
    <row r="2" spans="1:113" x14ac:dyDescent="0.2">
      <c r="A2" s="363"/>
      <c r="B2" s="240" t="s">
        <v>126</v>
      </c>
      <c r="C2" s="157" t="s">
        <v>281</v>
      </c>
      <c r="D2" s="157">
        <v>1</v>
      </c>
      <c r="E2" s="157">
        <v>2</v>
      </c>
      <c r="F2" s="157">
        <v>3</v>
      </c>
      <c r="G2" s="157">
        <v>4</v>
      </c>
      <c r="H2" s="157">
        <v>5</v>
      </c>
      <c r="I2" s="157">
        <v>6</v>
      </c>
      <c r="J2" s="157">
        <v>7</v>
      </c>
      <c r="K2" s="157">
        <v>8</v>
      </c>
      <c r="L2" s="157">
        <v>9</v>
      </c>
      <c r="M2" s="157">
        <v>10</v>
      </c>
      <c r="N2" s="157">
        <v>11</v>
      </c>
      <c r="O2" s="157">
        <v>12</v>
      </c>
      <c r="P2" s="157">
        <v>13</v>
      </c>
      <c r="R2" s="240" t="s">
        <v>126</v>
      </c>
      <c r="S2" s="157" t="s">
        <v>281</v>
      </c>
      <c r="T2" s="157">
        <v>2</v>
      </c>
      <c r="U2" s="157">
        <v>3</v>
      </c>
      <c r="V2" s="157">
        <v>4</v>
      </c>
      <c r="W2" s="157">
        <v>5</v>
      </c>
      <c r="X2" s="157">
        <v>6</v>
      </c>
      <c r="Y2" s="157">
        <v>7</v>
      </c>
      <c r="Z2" s="157">
        <v>8</v>
      </c>
      <c r="AA2" s="157">
        <v>9</v>
      </c>
      <c r="AB2" s="157">
        <v>10</v>
      </c>
      <c r="AC2" s="157">
        <v>11</v>
      </c>
      <c r="AD2" s="157">
        <v>12</v>
      </c>
      <c r="AE2" s="157">
        <v>13</v>
      </c>
      <c r="AF2" s="157">
        <v>14</v>
      </c>
      <c r="AH2" s="240" t="s">
        <v>126</v>
      </c>
      <c r="AI2" s="157" t="s">
        <v>281</v>
      </c>
      <c r="AJ2" s="157">
        <v>3</v>
      </c>
      <c r="AK2" s="157">
        <v>4</v>
      </c>
      <c r="AL2" s="157">
        <v>5</v>
      </c>
      <c r="AM2" s="157">
        <v>6</v>
      </c>
      <c r="AN2" s="157">
        <v>7</v>
      </c>
      <c r="AO2" s="157">
        <v>8</v>
      </c>
      <c r="AP2" s="157">
        <v>9</v>
      </c>
      <c r="AQ2" s="157">
        <v>10</v>
      </c>
      <c r="AR2" s="157">
        <v>11</v>
      </c>
      <c r="AS2" s="157">
        <v>12</v>
      </c>
      <c r="AT2" s="157">
        <v>13</v>
      </c>
      <c r="AU2" s="157">
        <v>14</v>
      </c>
      <c r="AV2" s="157">
        <v>15</v>
      </c>
      <c r="AX2" s="240" t="s">
        <v>126</v>
      </c>
      <c r="AY2" s="157" t="s">
        <v>281</v>
      </c>
      <c r="AZ2" s="157">
        <v>4</v>
      </c>
      <c r="BA2" s="157">
        <v>5</v>
      </c>
      <c r="BB2" s="157">
        <v>6</v>
      </c>
      <c r="BC2" s="157">
        <v>7</v>
      </c>
      <c r="BD2" s="157">
        <v>8</v>
      </c>
      <c r="BE2" s="157">
        <v>9</v>
      </c>
      <c r="BF2" s="157">
        <v>10</v>
      </c>
      <c r="BG2" s="157">
        <v>11</v>
      </c>
      <c r="BH2" s="157">
        <v>12</v>
      </c>
      <c r="BI2" s="157">
        <v>13</v>
      </c>
      <c r="BJ2" s="157">
        <v>14</v>
      </c>
      <c r="BK2" s="157">
        <v>15</v>
      </c>
      <c r="BL2" s="157">
        <v>16</v>
      </c>
      <c r="BN2" s="240" t="s">
        <v>126</v>
      </c>
      <c r="BO2" s="157" t="s">
        <v>281</v>
      </c>
      <c r="BP2" s="157">
        <v>4</v>
      </c>
      <c r="BQ2" s="157">
        <v>5</v>
      </c>
      <c r="BR2" s="157">
        <v>6</v>
      </c>
      <c r="BS2" s="157">
        <v>7</v>
      </c>
      <c r="BT2" s="157">
        <v>8</v>
      </c>
      <c r="BU2" s="157">
        <v>9</v>
      </c>
      <c r="BV2" s="157">
        <v>10</v>
      </c>
      <c r="BW2" s="157">
        <v>11</v>
      </c>
      <c r="BX2" s="157">
        <v>12</v>
      </c>
      <c r="BY2" s="157">
        <v>13</v>
      </c>
      <c r="BZ2" s="157">
        <v>14</v>
      </c>
      <c r="CA2" s="157">
        <v>15</v>
      </c>
      <c r="CB2" s="157">
        <v>16</v>
      </c>
      <c r="CD2" s="240" t="s">
        <v>126</v>
      </c>
      <c r="CE2" s="157" t="s">
        <v>281</v>
      </c>
      <c r="CF2" s="157" t="s">
        <v>282</v>
      </c>
      <c r="CG2" s="157">
        <v>1</v>
      </c>
      <c r="CH2" s="157">
        <v>2</v>
      </c>
      <c r="CI2" s="157">
        <v>3</v>
      </c>
      <c r="CJ2" s="157">
        <v>4</v>
      </c>
      <c r="CK2" s="157">
        <v>5</v>
      </c>
      <c r="CL2" s="157">
        <v>6</v>
      </c>
      <c r="CM2" s="157">
        <v>7</v>
      </c>
      <c r="CN2" s="157">
        <v>8</v>
      </c>
      <c r="CO2" s="157">
        <v>9</v>
      </c>
      <c r="CP2" s="157">
        <v>10</v>
      </c>
      <c r="CQ2" s="157">
        <v>11</v>
      </c>
      <c r="CR2" s="157">
        <v>12</v>
      </c>
      <c r="CS2" s="157">
        <v>13</v>
      </c>
      <c r="CU2" s="240" t="s">
        <v>126</v>
      </c>
      <c r="CV2" s="157" t="s">
        <v>281</v>
      </c>
      <c r="CW2" s="157">
        <v>1</v>
      </c>
      <c r="CX2" s="157">
        <v>2</v>
      </c>
      <c r="CY2" s="157">
        <v>3</v>
      </c>
      <c r="CZ2" s="157">
        <v>4</v>
      </c>
      <c r="DA2" s="157">
        <v>5</v>
      </c>
      <c r="DB2" s="157">
        <v>6</v>
      </c>
      <c r="DC2" s="157">
        <v>7</v>
      </c>
      <c r="DD2" s="157">
        <v>8</v>
      </c>
      <c r="DE2" s="157">
        <v>9</v>
      </c>
      <c r="DF2" s="157">
        <v>10</v>
      </c>
      <c r="DG2" s="157">
        <v>11</v>
      </c>
      <c r="DH2" s="157">
        <v>12</v>
      </c>
      <c r="DI2" s="157">
        <v>13</v>
      </c>
    </row>
    <row r="3" spans="1:113" x14ac:dyDescent="0.2">
      <c r="A3" s="363"/>
      <c r="B3" s="241" t="s">
        <v>283</v>
      </c>
      <c r="C3" s="158">
        <v>22.2</v>
      </c>
      <c r="D3" s="187">
        <v>7.0000000000000001E-3</v>
      </c>
      <c r="E3" s="168">
        <v>1.7999999999999999E-2</v>
      </c>
      <c r="F3" s="191">
        <v>2.5999999999999999E-2</v>
      </c>
      <c r="G3" s="192">
        <v>3.4000000000000002E-2</v>
      </c>
      <c r="H3" s="185">
        <v>3.7999999999999999E-2</v>
      </c>
      <c r="I3" s="184">
        <v>3.9E-2</v>
      </c>
      <c r="J3" s="193">
        <v>3.5999999999999997E-2</v>
      </c>
      <c r="K3" s="167">
        <v>3.3000000000000002E-2</v>
      </c>
      <c r="L3" s="194">
        <v>3.2000000000000001E-2</v>
      </c>
      <c r="M3" s="195">
        <v>3.1E-2</v>
      </c>
      <c r="N3" s="162">
        <v>0.03</v>
      </c>
      <c r="O3" s="175">
        <v>0.03</v>
      </c>
      <c r="P3" s="196">
        <v>2.9000000000000001E-2</v>
      </c>
      <c r="R3" s="241" t="s">
        <v>283</v>
      </c>
      <c r="S3" s="158">
        <v>22.2</v>
      </c>
      <c r="T3" s="187">
        <v>7.0000000000000001E-3</v>
      </c>
      <c r="U3" s="168">
        <v>1.7999999999999999E-2</v>
      </c>
      <c r="V3" s="191">
        <v>2.5999999999999999E-2</v>
      </c>
      <c r="W3" s="192">
        <v>3.4000000000000002E-2</v>
      </c>
      <c r="X3" s="185">
        <v>3.7999999999999999E-2</v>
      </c>
      <c r="Y3" s="184">
        <v>3.9E-2</v>
      </c>
      <c r="Z3" s="193">
        <v>3.5999999999999997E-2</v>
      </c>
      <c r="AA3" s="167">
        <v>3.3000000000000002E-2</v>
      </c>
      <c r="AB3" s="194">
        <v>3.2000000000000001E-2</v>
      </c>
      <c r="AC3" s="195">
        <v>3.1E-2</v>
      </c>
      <c r="AD3" s="162">
        <v>0.03</v>
      </c>
      <c r="AE3" s="175">
        <v>0.03</v>
      </c>
      <c r="AF3" s="196">
        <v>2.9000000000000001E-2</v>
      </c>
      <c r="AH3" s="241" t="s">
        <v>283</v>
      </c>
      <c r="AI3" s="158">
        <v>22.2</v>
      </c>
      <c r="AJ3" s="187">
        <v>7.0000000000000001E-3</v>
      </c>
      <c r="AK3" s="168">
        <v>1.7999999999999999E-2</v>
      </c>
      <c r="AL3" s="191">
        <v>2.5999999999999999E-2</v>
      </c>
      <c r="AM3" s="192">
        <v>3.4000000000000002E-2</v>
      </c>
      <c r="AN3" s="185">
        <v>3.7999999999999999E-2</v>
      </c>
      <c r="AO3" s="184">
        <v>3.9E-2</v>
      </c>
      <c r="AP3" s="193">
        <v>3.5999999999999997E-2</v>
      </c>
      <c r="AQ3" s="167">
        <v>3.3000000000000002E-2</v>
      </c>
      <c r="AR3" s="194">
        <v>3.2000000000000001E-2</v>
      </c>
      <c r="AS3" s="195">
        <v>3.1E-2</v>
      </c>
      <c r="AT3" s="162">
        <v>0.03</v>
      </c>
      <c r="AU3" s="175">
        <v>0.03</v>
      </c>
      <c r="AV3" s="196">
        <v>2.9000000000000001E-2</v>
      </c>
      <c r="AX3" s="241" t="s">
        <v>283</v>
      </c>
      <c r="AY3" s="158">
        <v>22.2</v>
      </c>
      <c r="AZ3" s="187">
        <v>7.0000000000000001E-3</v>
      </c>
      <c r="BA3" s="168">
        <v>1.7999999999999999E-2</v>
      </c>
      <c r="BB3" s="191">
        <v>2.5999999999999999E-2</v>
      </c>
      <c r="BC3" s="192">
        <v>3.4000000000000002E-2</v>
      </c>
      <c r="BD3" s="185">
        <v>3.7999999999999999E-2</v>
      </c>
      <c r="BE3" s="184">
        <v>3.9E-2</v>
      </c>
      <c r="BF3" s="193">
        <v>3.5999999999999997E-2</v>
      </c>
      <c r="BG3" s="167">
        <v>3.3000000000000002E-2</v>
      </c>
      <c r="BH3" s="194">
        <v>3.2000000000000001E-2</v>
      </c>
      <c r="BI3" s="195">
        <v>3.1E-2</v>
      </c>
      <c r="BJ3" s="162">
        <v>0.03</v>
      </c>
      <c r="BK3" s="175">
        <v>0.03</v>
      </c>
      <c r="BL3" s="196">
        <v>2.9000000000000001E-2</v>
      </c>
      <c r="BN3" s="241" t="s">
        <v>283</v>
      </c>
      <c r="BO3" s="158">
        <v>22.2</v>
      </c>
      <c r="BP3" s="187">
        <v>7.0000000000000001E-3</v>
      </c>
      <c r="BQ3" s="168">
        <v>1.7999999999999999E-2</v>
      </c>
      <c r="BR3" s="191">
        <v>2.5999999999999999E-2</v>
      </c>
      <c r="BS3" s="192">
        <v>3.4000000000000002E-2</v>
      </c>
      <c r="BT3" s="185">
        <v>3.7999999999999999E-2</v>
      </c>
      <c r="BU3" s="184">
        <v>3.9E-2</v>
      </c>
      <c r="BV3" s="193">
        <v>3.5999999999999997E-2</v>
      </c>
      <c r="BW3" s="167">
        <v>3.3000000000000002E-2</v>
      </c>
      <c r="BX3" s="194">
        <v>3.2000000000000001E-2</v>
      </c>
      <c r="BY3" s="195">
        <v>3.1E-2</v>
      </c>
      <c r="BZ3" s="162">
        <v>0.03</v>
      </c>
      <c r="CA3" s="175">
        <v>0.03</v>
      </c>
      <c r="CB3" s="196">
        <v>2.9000000000000001E-2</v>
      </c>
      <c r="CD3" s="241" t="s">
        <v>283</v>
      </c>
      <c r="CE3" s="158">
        <v>22.2</v>
      </c>
      <c r="CF3" s="158"/>
      <c r="CG3" s="187">
        <v>7.0000000000000001E-3</v>
      </c>
      <c r="CH3" s="168">
        <v>1.7999999999999999E-2</v>
      </c>
      <c r="CI3" s="191">
        <v>2.5999999999999999E-2</v>
      </c>
      <c r="CJ3" s="192">
        <v>3.4000000000000002E-2</v>
      </c>
      <c r="CK3" s="185">
        <v>3.7999999999999999E-2</v>
      </c>
      <c r="CL3" s="184">
        <v>3.9E-2</v>
      </c>
      <c r="CM3" s="193">
        <v>3.5999999999999997E-2</v>
      </c>
      <c r="CN3" s="167">
        <v>3.3000000000000002E-2</v>
      </c>
      <c r="CO3" s="194">
        <v>3.2000000000000001E-2</v>
      </c>
      <c r="CP3" s="195">
        <v>3.1E-2</v>
      </c>
      <c r="CQ3" s="162">
        <v>0.03</v>
      </c>
      <c r="CR3" s="175">
        <v>0.03</v>
      </c>
      <c r="CS3" s="196">
        <v>2.9000000000000001E-2</v>
      </c>
      <c r="CU3" s="241" t="s">
        <v>283</v>
      </c>
      <c r="CV3" s="158">
        <v>22.2</v>
      </c>
      <c r="CW3" s="187">
        <v>7.0000000000000001E-3</v>
      </c>
      <c r="CX3" s="168">
        <v>1.7999999999999999E-2</v>
      </c>
      <c r="CY3" s="191">
        <v>2.5999999999999999E-2</v>
      </c>
      <c r="CZ3" s="192">
        <v>3.4000000000000002E-2</v>
      </c>
      <c r="DA3" s="185">
        <v>3.7999999999999999E-2</v>
      </c>
      <c r="DB3" s="184">
        <v>3.9E-2</v>
      </c>
      <c r="DC3" s="193">
        <v>3.5999999999999997E-2</v>
      </c>
      <c r="DD3" s="167">
        <v>3.3000000000000002E-2</v>
      </c>
      <c r="DE3" s="194">
        <v>3.2000000000000001E-2</v>
      </c>
      <c r="DF3" s="195">
        <v>3.1E-2</v>
      </c>
      <c r="DG3" s="162">
        <v>0.03</v>
      </c>
      <c r="DH3" s="175">
        <v>0.03</v>
      </c>
      <c r="DI3" s="196">
        <v>2.9000000000000001E-2</v>
      </c>
    </row>
    <row r="4" spans="1:113" x14ac:dyDescent="0.2">
      <c r="A4" s="363"/>
      <c r="B4" s="241" t="s">
        <v>284</v>
      </c>
      <c r="C4" s="158">
        <v>21.8</v>
      </c>
      <c r="D4" s="197">
        <v>6.0000000000000001E-3</v>
      </c>
      <c r="E4" s="198">
        <v>0.02</v>
      </c>
      <c r="F4" s="199">
        <v>2.9000000000000001E-2</v>
      </c>
      <c r="G4" s="200">
        <v>3.4000000000000002E-2</v>
      </c>
      <c r="H4" s="201">
        <v>3.7999999999999999E-2</v>
      </c>
      <c r="I4" s="202">
        <v>3.7999999999999999E-2</v>
      </c>
      <c r="J4" s="166">
        <v>3.5000000000000003E-2</v>
      </c>
      <c r="K4" s="186">
        <v>3.3000000000000002E-2</v>
      </c>
      <c r="L4" s="159">
        <v>3.1E-2</v>
      </c>
      <c r="M4" s="203">
        <v>3.1E-2</v>
      </c>
      <c r="N4" s="204">
        <v>0.03</v>
      </c>
      <c r="O4" s="205">
        <v>2.9000000000000001E-2</v>
      </c>
      <c r="P4" s="158"/>
      <c r="R4" s="241" t="s">
        <v>284</v>
      </c>
      <c r="S4" s="158">
        <v>21.8</v>
      </c>
      <c r="T4" s="197">
        <v>6.0000000000000001E-3</v>
      </c>
      <c r="U4" s="198">
        <v>0.02</v>
      </c>
      <c r="V4" s="199">
        <v>2.9000000000000001E-2</v>
      </c>
      <c r="W4" s="200">
        <v>3.4000000000000002E-2</v>
      </c>
      <c r="X4" s="201">
        <v>3.7999999999999999E-2</v>
      </c>
      <c r="Y4" s="202">
        <v>3.7999999999999999E-2</v>
      </c>
      <c r="Z4" s="166">
        <v>3.5000000000000003E-2</v>
      </c>
      <c r="AA4" s="186">
        <v>3.3000000000000002E-2</v>
      </c>
      <c r="AB4" s="159">
        <v>3.1E-2</v>
      </c>
      <c r="AC4" s="203">
        <v>3.1E-2</v>
      </c>
      <c r="AD4" s="204">
        <v>0.03</v>
      </c>
      <c r="AE4" s="205">
        <v>2.9000000000000001E-2</v>
      </c>
      <c r="AF4" s="158"/>
      <c r="AH4" s="241" t="s">
        <v>284</v>
      </c>
      <c r="AI4" s="158">
        <v>21.8</v>
      </c>
      <c r="AJ4" s="197">
        <v>6.0000000000000001E-3</v>
      </c>
      <c r="AK4" s="198">
        <v>0.02</v>
      </c>
      <c r="AL4" s="199">
        <v>2.9000000000000001E-2</v>
      </c>
      <c r="AM4" s="200">
        <v>3.4000000000000002E-2</v>
      </c>
      <c r="AN4" s="201">
        <v>3.7999999999999999E-2</v>
      </c>
      <c r="AO4" s="202">
        <v>3.7999999999999999E-2</v>
      </c>
      <c r="AP4" s="166">
        <v>3.5000000000000003E-2</v>
      </c>
      <c r="AQ4" s="186">
        <v>3.3000000000000002E-2</v>
      </c>
      <c r="AR4" s="159">
        <v>3.1E-2</v>
      </c>
      <c r="AS4" s="203">
        <v>3.1E-2</v>
      </c>
      <c r="AT4" s="204">
        <v>0.03</v>
      </c>
      <c r="AU4" s="205">
        <v>2.9000000000000001E-2</v>
      </c>
      <c r="AV4" s="158"/>
      <c r="AX4" s="241" t="s">
        <v>284</v>
      </c>
      <c r="AY4" s="158">
        <v>21.8</v>
      </c>
      <c r="AZ4" s="197">
        <v>6.0000000000000001E-3</v>
      </c>
      <c r="BA4" s="198">
        <v>0.02</v>
      </c>
      <c r="BB4" s="199">
        <v>2.9000000000000001E-2</v>
      </c>
      <c r="BC4" s="200">
        <v>3.4000000000000002E-2</v>
      </c>
      <c r="BD4" s="201">
        <v>3.7999999999999999E-2</v>
      </c>
      <c r="BE4" s="202">
        <v>3.7999999999999999E-2</v>
      </c>
      <c r="BF4" s="166">
        <v>3.5000000000000003E-2</v>
      </c>
      <c r="BG4" s="186">
        <v>3.3000000000000002E-2</v>
      </c>
      <c r="BH4" s="159">
        <v>3.1E-2</v>
      </c>
      <c r="BI4" s="203">
        <v>3.1E-2</v>
      </c>
      <c r="BJ4" s="204">
        <v>0.03</v>
      </c>
      <c r="BK4" s="205">
        <v>2.9000000000000001E-2</v>
      </c>
      <c r="BL4" s="158"/>
      <c r="BN4" s="241" t="s">
        <v>284</v>
      </c>
      <c r="BO4" s="158">
        <v>21.8</v>
      </c>
      <c r="BP4" s="197">
        <v>6.0000000000000001E-3</v>
      </c>
      <c r="BQ4" s="198">
        <v>0.02</v>
      </c>
      <c r="BR4" s="199">
        <v>2.9000000000000001E-2</v>
      </c>
      <c r="BS4" s="200">
        <v>3.4000000000000002E-2</v>
      </c>
      <c r="BT4" s="201">
        <v>3.7999999999999999E-2</v>
      </c>
      <c r="BU4" s="202">
        <v>3.7999999999999999E-2</v>
      </c>
      <c r="BV4" s="166">
        <v>3.5000000000000003E-2</v>
      </c>
      <c r="BW4" s="186">
        <v>3.3000000000000002E-2</v>
      </c>
      <c r="BX4" s="159">
        <v>3.1E-2</v>
      </c>
      <c r="BY4" s="203">
        <v>3.1E-2</v>
      </c>
      <c r="BZ4" s="204">
        <v>0.03</v>
      </c>
      <c r="CA4" s="205">
        <v>2.9000000000000001E-2</v>
      </c>
      <c r="CB4" s="158"/>
      <c r="CD4" s="241" t="s">
        <v>284</v>
      </c>
      <c r="CE4" s="158">
        <v>21.8</v>
      </c>
      <c r="CF4" s="158"/>
      <c r="CG4" s="197">
        <v>6.0000000000000001E-3</v>
      </c>
      <c r="CH4" s="198">
        <v>0.02</v>
      </c>
      <c r="CI4" s="199">
        <v>2.9000000000000001E-2</v>
      </c>
      <c r="CJ4" s="200">
        <v>3.4000000000000002E-2</v>
      </c>
      <c r="CK4" s="201">
        <v>3.7999999999999999E-2</v>
      </c>
      <c r="CL4" s="202">
        <v>3.7999999999999999E-2</v>
      </c>
      <c r="CM4" s="166">
        <v>3.5000000000000003E-2</v>
      </c>
      <c r="CN4" s="186">
        <v>3.3000000000000002E-2</v>
      </c>
      <c r="CO4" s="159">
        <v>3.1E-2</v>
      </c>
      <c r="CP4" s="203">
        <v>3.1E-2</v>
      </c>
      <c r="CQ4" s="204">
        <v>0.03</v>
      </c>
      <c r="CR4" s="205">
        <v>2.9000000000000001E-2</v>
      </c>
      <c r="CS4" s="158"/>
      <c r="CU4" s="241" t="s">
        <v>284</v>
      </c>
      <c r="CV4" s="158">
        <v>21.8</v>
      </c>
      <c r="CW4" s="197">
        <v>6.0000000000000001E-3</v>
      </c>
      <c r="CX4" s="198">
        <v>0.02</v>
      </c>
      <c r="CY4" s="199">
        <v>2.9000000000000001E-2</v>
      </c>
      <c r="CZ4" s="200">
        <v>3.4000000000000002E-2</v>
      </c>
      <c r="DA4" s="201">
        <v>3.7999999999999999E-2</v>
      </c>
      <c r="DB4" s="202">
        <v>3.7999999999999999E-2</v>
      </c>
      <c r="DC4" s="166">
        <v>3.5000000000000003E-2</v>
      </c>
      <c r="DD4" s="186">
        <v>3.3000000000000002E-2</v>
      </c>
      <c r="DE4" s="159">
        <v>3.1E-2</v>
      </c>
      <c r="DF4" s="203">
        <v>3.1E-2</v>
      </c>
      <c r="DG4" s="204">
        <v>0.03</v>
      </c>
      <c r="DH4" s="205">
        <v>2.9000000000000001E-2</v>
      </c>
      <c r="DI4" s="158"/>
    </row>
    <row r="5" spans="1:113" x14ac:dyDescent="0.2">
      <c r="A5" s="363"/>
      <c r="B5" s="241" t="s">
        <v>285</v>
      </c>
      <c r="C5" s="158">
        <v>27</v>
      </c>
      <c r="D5" s="206">
        <v>6.0000000000000001E-3</v>
      </c>
      <c r="E5" s="179">
        <v>2.1000000000000001E-2</v>
      </c>
      <c r="F5" s="163">
        <v>2.9000000000000001E-2</v>
      </c>
      <c r="G5" s="166">
        <v>3.5000000000000003E-2</v>
      </c>
      <c r="H5" s="207">
        <v>4.1000000000000002E-2</v>
      </c>
      <c r="I5" s="181">
        <v>4.2000000000000003E-2</v>
      </c>
      <c r="J5" s="170">
        <v>0.04</v>
      </c>
      <c r="K5" s="208">
        <v>3.6999999999999998E-2</v>
      </c>
      <c r="L5" s="161">
        <v>3.5999999999999997E-2</v>
      </c>
      <c r="M5" s="165">
        <v>3.4000000000000002E-2</v>
      </c>
      <c r="N5" s="167">
        <v>3.3000000000000002E-2</v>
      </c>
      <c r="O5" s="158"/>
      <c r="P5" s="158"/>
      <c r="R5" s="241" t="s">
        <v>285</v>
      </c>
      <c r="S5" s="158">
        <v>27</v>
      </c>
      <c r="T5" s="206">
        <v>6.0000000000000001E-3</v>
      </c>
      <c r="U5" s="179">
        <v>2.1000000000000001E-2</v>
      </c>
      <c r="V5" s="163">
        <v>2.9000000000000001E-2</v>
      </c>
      <c r="W5" s="166">
        <v>3.5000000000000003E-2</v>
      </c>
      <c r="X5" s="207">
        <v>4.1000000000000002E-2</v>
      </c>
      <c r="Y5" s="181">
        <v>4.2000000000000003E-2</v>
      </c>
      <c r="Z5" s="170">
        <v>0.04</v>
      </c>
      <c r="AA5" s="208">
        <v>3.6999999999999998E-2</v>
      </c>
      <c r="AB5" s="161">
        <v>3.5999999999999997E-2</v>
      </c>
      <c r="AC5" s="165">
        <v>3.4000000000000002E-2</v>
      </c>
      <c r="AD5" s="167">
        <v>3.3000000000000002E-2</v>
      </c>
      <c r="AE5" s="158"/>
      <c r="AF5" s="158"/>
      <c r="AH5" s="241" t="s">
        <v>285</v>
      </c>
      <c r="AI5" s="158">
        <v>27</v>
      </c>
      <c r="AJ5" s="206">
        <v>6.0000000000000001E-3</v>
      </c>
      <c r="AK5" s="179">
        <v>2.1000000000000001E-2</v>
      </c>
      <c r="AL5" s="163">
        <v>2.9000000000000001E-2</v>
      </c>
      <c r="AM5" s="166">
        <v>3.5000000000000003E-2</v>
      </c>
      <c r="AN5" s="207">
        <v>4.1000000000000002E-2</v>
      </c>
      <c r="AO5" s="181">
        <v>4.2000000000000003E-2</v>
      </c>
      <c r="AP5" s="170">
        <v>0.04</v>
      </c>
      <c r="AQ5" s="208">
        <v>3.6999999999999998E-2</v>
      </c>
      <c r="AR5" s="161">
        <v>3.5999999999999997E-2</v>
      </c>
      <c r="AS5" s="165">
        <v>3.4000000000000002E-2</v>
      </c>
      <c r="AT5" s="167">
        <v>3.3000000000000002E-2</v>
      </c>
      <c r="AU5" s="158"/>
      <c r="AV5" s="158"/>
      <c r="AX5" s="241" t="s">
        <v>285</v>
      </c>
      <c r="AY5" s="158">
        <v>27</v>
      </c>
      <c r="AZ5" s="206">
        <v>6.0000000000000001E-3</v>
      </c>
      <c r="BA5" s="179">
        <v>2.1000000000000001E-2</v>
      </c>
      <c r="BB5" s="163">
        <v>2.9000000000000001E-2</v>
      </c>
      <c r="BC5" s="166">
        <v>3.5000000000000003E-2</v>
      </c>
      <c r="BD5" s="207">
        <v>4.1000000000000002E-2</v>
      </c>
      <c r="BE5" s="181">
        <v>4.2000000000000003E-2</v>
      </c>
      <c r="BF5" s="170">
        <v>0.04</v>
      </c>
      <c r="BG5" s="208">
        <v>3.6999999999999998E-2</v>
      </c>
      <c r="BH5" s="161">
        <v>3.5999999999999997E-2</v>
      </c>
      <c r="BI5" s="165">
        <v>3.4000000000000002E-2</v>
      </c>
      <c r="BJ5" s="167">
        <v>3.3000000000000002E-2</v>
      </c>
      <c r="BK5" s="158"/>
      <c r="BL5" s="158"/>
      <c r="BN5" s="241" t="s">
        <v>285</v>
      </c>
      <c r="BO5" s="158">
        <v>27</v>
      </c>
      <c r="BP5" s="206">
        <v>6.0000000000000001E-3</v>
      </c>
      <c r="BQ5" s="179">
        <v>2.1000000000000001E-2</v>
      </c>
      <c r="BR5" s="163">
        <v>2.9000000000000001E-2</v>
      </c>
      <c r="BS5" s="166">
        <v>3.5000000000000003E-2</v>
      </c>
      <c r="BT5" s="207">
        <v>4.1000000000000002E-2</v>
      </c>
      <c r="BU5" s="181">
        <v>4.2000000000000003E-2</v>
      </c>
      <c r="BV5" s="170">
        <v>0.04</v>
      </c>
      <c r="BW5" s="208">
        <v>3.6999999999999998E-2</v>
      </c>
      <c r="BX5" s="161">
        <v>3.5999999999999997E-2</v>
      </c>
      <c r="BY5" s="165">
        <v>3.4000000000000002E-2</v>
      </c>
      <c r="BZ5" s="167">
        <v>3.3000000000000002E-2</v>
      </c>
      <c r="CA5" s="158"/>
      <c r="CB5" s="158"/>
      <c r="CD5" s="241" t="s">
        <v>285</v>
      </c>
      <c r="CE5" s="158">
        <v>27</v>
      </c>
      <c r="CF5" s="158"/>
      <c r="CG5" s="206">
        <v>6.0000000000000001E-3</v>
      </c>
      <c r="CH5" s="179">
        <v>2.1000000000000001E-2</v>
      </c>
      <c r="CI5" s="163">
        <v>2.9000000000000001E-2</v>
      </c>
      <c r="CJ5" s="166">
        <v>3.5000000000000003E-2</v>
      </c>
      <c r="CK5" s="207">
        <v>4.1000000000000002E-2</v>
      </c>
      <c r="CL5" s="181">
        <v>4.2000000000000003E-2</v>
      </c>
      <c r="CM5" s="170">
        <v>0.04</v>
      </c>
      <c r="CN5" s="208">
        <v>3.6999999999999998E-2</v>
      </c>
      <c r="CO5" s="161">
        <v>3.5999999999999997E-2</v>
      </c>
      <c r="CP5" s="165">
        <v>3.4000000000000002E-2</v>
      </c>
      <c r="CQ5" s="167">
        <v>3.3000000000000002E-2</v>
      </c>
      <c r="CR5" s="158"/>
      <c r="CS5" s="158"/>
      <c r="CU5" s="241" t="s">
        <v>285</v>
      </c>
      <c r="CV5" s="158">
        <v>27</v>
      </c>
      <c r="CW5" s="206">
        <v>6.0000000000000001E-3</v>
      </c>
      <c r="CX5" s="179">
        <v>2.1000000000000001E-2</v>
      </c>
      <c r="CY5" s="163">
        <v>2.9000000000000001E-2</v>
      </c>
      <c r="CZ5" s="166">
        <v>3.5000000000000003E-2</v>
      </c>
      <c r="DA5" s="207">
        <v>4.1000000000000002E-2</v>
      </c>
      <c r="DB5" s="181">
        <v>4.2000000000000003E-2</v>
      </c>
      <c r="DC5" s="170">
        <v>0.04</v>
      </c>
      <c r="DD5" s="208">
        <v>3.6999999999999998E-2</v>
      </c>
      <c r="DE5" s="161">
        <v>3.5999999999999997E-2</v>
      </c>
      <c r="DF5" s="165">
        <v>3.4000000000000002E-2</v>
      </c>
      <c r="DG5" s="167">
        <v>3.3000000000000002E-2</v>
      </c>
      <c r="DH5" s="158"/>
      <c r="DI5" s="158"/>
    </row>
    <row r="6" spans="1:113" x14ac:dyDescent="0.2">
      <c r="A6" s="363"/>
      <c r="B6" s="241" t="s">
        <v>286</v>
      </c>
      <c r="C6" s="169">
        <v>27.5</v>
      </c>
      <c r="D6" s="177">
        <v>6.0000000000000001E-3</v>
      </c>
      <c r="E6" s="198">
        <v>0.02</v>
      </c>
      <c r="F6" s="209">
        <v>3.2000000000000001E-2</v>
      </c>
      <c r="G6" s="182">
        <v>0.04</v>
      </c>
      <c r="H6" s="172">
        <v>4.2999999999999997E-2</v>
      </c>
      <c r="I6" s="210">
        <v>4.2999999999999997E-2</v>
      </c>
      <c r="J6" s="211">
        <v>4.1000000000000002E-2</v>
      </c>
      <c r="K6" s="201">
        <v>3.7999999999999999E-2</v>
      </c>
      <c r="L6" s="174">
        <v>3.6999999999999998E-2</v>
      </c>
      <c r="M6" s="166">
        <v>3.5000000000000003E-2</v>
      </c>
      <c r="N6" s="158"/>
      <c r="O6" s="158"/>
      <c r="P6" s="158"/>
      <c r="R6" s="241" t="s">
        <v>286</v>
      </c>
      <c r="S6" s="169">
        <v>27.5</v>
      </c>
      <c r="T6" s="177">
        <v>6.0000000000000001E-3</v>
      </c>
      <c r="U6" s="198">
        <v>0.02</v>
      </c>
      <c r="V6" s="209">
        <v>3.2000000000000001E-2</v>
      </c>
      <c r="W6" s="182">
        <v>0.04</v>
      </c>
      <c r="X6" s="172">
        <v>4.2999999999999997E-2</v>
      </c>
      <c r="Y6" s="210">
        <v>4.2999999999999997E-2</v>
      </c>
      <c r="Z6" s="211">
        <v>4.1000000000000002E-2</v>
      </c>
      <c r="AA6" s="201">
        <v>3.7999999999999999E-2</v>
      </c>
      <c r="AB6" s="174">
        <v>3.6999999999999998E-2</v>
      </c>
      <c r="AC6" s="166">
        <v>3.5000000000000003E-2</v>
      </c>
      <c r="AD6" s="158"/>
      <c r="AE6" s="158"/>
      <c r="AF6" s="158"/>
      <c r="AH6" s="241" t="s">
        <v>286</v>
      </c>
      <c r="AI6" s="169">
        <v>27.5</v>
      </c>
      <c r="AJ6" s="177">
        <v>6.0000000000000001E-3</v>
      </c>
      <c r="AK6" s="198">
        <v>0.02</v>
      </c>
      <c r="AL6" s="209">
        <v>3.2000000000000001E-2</v>
      </c>
      <c r="AM6" s="182">
        <v>0.04</v>
      </c>
      <c r="AN6" s="172">
        <v>4.2999999999999997E-2</v>
      </c>
      <c r="AO6" s="210">
        <v>4.2999999999999997E-2</v>
      </c>
      <c r="AP6" s="211">
        <v>4.1000000000000002E-2</v>
      </c>
      <c r="AQ6" s="201">
        <v>3.7999999999999999E-2</v>
      </c>
      <c r="AR6" s="174">
        <v>3.6999999999999998E-2</v>
      </c>
      <c r="AS6" s="166">
        <v>3.5000000000000003E-2</v>
      </c>
      <c r="AT6" s="158"/>
      <c r="AU6" s="158"/>
      <c r="AV6" s="158"/>
      <c r="AX6" s="241" t="s">
        <v>286</v>
      </c>
      <c r="AY6" s="169">
        <v>27.5</v>
      </c>
      <c r="AZ6" s="177">
        <v>6.0000000000000001E-3</v>
      </c>
      <c r="BA6" s="198">
        <v>0.02</v>
      </c>
      <c r="BB6" s="209">
        <v>3.2000000000000001E-2</v>
      </c>
      <c r="BC6" s="182">
        <v>0.04</v>
      </c>
      <c r="BD6" s="172">
        <v>4.2999999999999997E-2</v>
      </c>
      <c r="BE6" s="210">
        <v>4.2999999999999997E-2</v>
      </c>
      <c r="BF6" s="211">
        <v>4.1000000000000002E-2</v>
      </c>
      <c r="BG6" s="201">
        <v>3.7999999999999999E-2</v>
      </c>
      <c r="BH6" s="174">
        <v>3.6999999999999998E-2</v>
      </c>
      <c r="BI6" s="166">
        <v>3.5000000000000003E-2</v>
      </c>
      <c r="BJ6" s="158"/>
      <c r="BK6" s="158"/>
      <c r="BL6" s="158"/>
      <c r="BN6" s="241" t="s">
        <v>286</v>
      </c>
      <c r="BO6" s="169">
        <v>27.5</v>
      </c>
      <c r="BP6" s="177">
        <v>6.0000000000000001E-3</v>
      </c>
      <c r="BQ6" s="198">
        <v>0.02</v>
      </c>
      <c r="BR6" s="209">
        <v>3.2000000000000001E-2</v>
      </c>
      <c r="BS6" s="182">
        <v>0.04</v>
      </c>
      <c r="BT6" s="172">
        <v>4.2999999999999997E-2</v>
      </c>
      <c r="BU6" s="210">
        <v>4.2999999999999997E-2</v>
      </c>
      <c r="BV6" s="211">
        <v>4.1000000000000002E-2</v>
      </c>
      <c r="BW6" s="201">
        <v>3.7999999999999999E-2</v>
      </c>
      <c r="BX6" s="174">
        <v>3.6999999999999998E-2</v>
      </c>
      <c r="BY6" s="166">
        <v>3.5000000000000003E-2</v>
      </c>
      <c r="BZ6" s="158"/>
      <c r="CA6" s="158"/>
      <c r="CB6" s="158"/>
      <c r="CD6" s="241" t="s">
        <v>286</v>
      </c>
      <c r="CE6" s="169">
        <v>27.5</v>
      </c>
      <c r="CF6" s="169"/>
      <c r="CG6" s="177">
        <v>6.0000000000000001E-3</v>
      </c>
      <c r="CH6" s="198">
        <v>0.02</v>
      </c>
      <c r="CI6" s="209">
        <v>3.2000000000000001E-2</v>
      </c>
      <c r="CJ6" s="182">
        <v>0.04</v>
      </c>
      <c r="CK6" s="172">
        <v>4.2999999999999997E-2</v>
      </c>
      <c r="CL6" s="210">
        <v>4.2999999999999997E-2</v>
      </c>
      <c r="CM6" s="211">
        <v>4.1000000000000002E-2</v>
      </c>
      <c r="CN6" s="201">
        <v>3.7999999999999999E-2</v>
      </c>
      <c r="CO6" s="174">
        <v>3.6999999999999998E-2</v>
      </c>
      <c r="CP6" s="166">
        <v>3.5000000000000003E-2</v>
      </c>
      <c r="CQ6" s="158"/>
      <c r="CR6" s="158"/>
      <c r="CS6" s="158"/>
      <c r="CU6" s="241" t="s">
        <v>286</v>
      </c>
      <c r="CV6" s="169">
        <v>27.5</v>
      </c>
      <c r="CW6" s="177">
        <v>6.0000000000000001E-3</v>
      </c>
      <c r="CX6" s="198">
        <v>0.02</v>
      </c>
      <c r="CY6" s="209">
        <v>3.2000000000000001E-2</v>
      </c>
      <c r="CZ6" s="182">
        <v>0.04</v>
      </c>
      <c r="DA6" s="172">
        <v>4.2999999999999997E-2</v>
      </c>
      <c r="DB6" s="210">
        <v>4.2999999999999997E-2</v>
      </c>
      <c r="DC6" s="211">
        <v>4.1000000000000002E-2</v>
      </c>
      <c r="DD6" s="201">
        <v>3.7999999999999999E-2</v>
      </c>
      <c r="DE6" s="174">
        <v>3.6999999999999998E-2</v>
      </c>
      <c r="DF6" s="166">
        <v>3.5000000000000003E-2</v>
      </c>
      <c r="DG6" s="158"/>
      <c r="DH6" s="158"/>
      <c r="DI6" s="158"/>
    </row>
    <row r="7" spans="1:113" x14ac:dyDescent="0.2">
      <c r="A7" s="363"/>
      <c r="B7" s="241" t="s">
        <v>287</v>
      </c>
      <c r="C7" s="169">
        <v>31.8</v>
      </c>
      <c r="D7" s="188">
        <v>7.0000000000000001E-3</v>
      </c>
      <c r="E7" s="212">
        <v>2.3E-2</v>
      </c>
      <c r="F7" s="190">
        <v>3.3000000000000002E-2</v>
      </c>
      <c r="G7" s="184">
        <v>3.9E-2</v>
      </c>
      <c r="H7" s="213">
        <v>4.3999999999999997E-2</v>
      </c>
      <c r="I7" s="210">
        <v>4.2999999999999997E-2</v>
      </c>
      <c r="J7" s="214">
        <v>4.2000000000000003E-2</v>
      </c>
      <c r="K7" s="173">
        <v>3.9E-2</v>
      </c>
      <c r="L7" s="174">
        <v>3.6999999999999998E-2</v>
      </c>
      <c r="M7" s="158"/>
      <c r="N7" s="158"/>
      <c r="O7" s="158"/>
      <c r="P7" s="158"/>
      <c r="R7" s="241" t="s">
        <v>287</v>
      </c>
      <c r="S7" s="169">
        <v>31.8</v>
      </c>
      <c r="T7" s="188">
        <v>7.0000000000000001E-3</v>
      </c>
      <c r="U7" s="212">
        <v>2.3E-2</v>
      </c>
      <c r="V7" s="190">
        <v>3.3000000000000002E-2</v>
      </c>
      <c r="W7" s="184">
        <v>3.9E-2</v>
      </c>
      <c r="X7" s="213">
        <v>4.3999999999999997E-2</v>
      </c>
      <c r="Y7" s="210">
        <v>4.2999999999999997E-2</v>
      </c>
      <c r="Z7" s="214">
        <v>4.2000000000000003E-2</v>
      </c>
      <c r="AA7" s="173">
        <v>3.9E-2</v>
      </c>
      <c r="AB7" s="174">
        <v>3.6999999999999998E-2</v>
      </c>
      <c r="AC7" s="158"/>
      <c r="AD7" s="158"/>
      <c r="AE7" s="158"/>
      <c r="AF7" s="158"/>
      <c r="AH7" s="241" t="s">
        <v>287</v>
      </c>
      <c r="AI7" s="169">
        <v>31.8</v>
      </c>
      <c r="AJ7" s="188">
        <v>7.0000000000000001E-3</v>
      </c>
      <c r="AK7" s="212">
        <v>2.3E-2</v>
      </c>
      <c r="AL7" s="190">
        <v>3.3000000000000002E-2</v>
      </c>
      <c r="AM7" s="184">
        <v>3.9E-2</v>
      </c>
      <c r="AN7" s="213">
        <v>4.3999999999999997E-2</v>
      </c>
      <c r="AO7" s="210">
        <v>4.2999999999999997E-2</v>
      </c>
      <c r="AP7" s="214">
        <v>4.2000000000000003E-2</v>
      </c>
      <c r="AQ7" s="173">
        <v>3.9E-2</v>
      </c>
      <c r="AR7" s="174">
        <v>3.6999999999999998E-2</v>
      </c>
      <c r="AS7" s="158"/>
      <c r="AT7" s="158"/>
      <c r="AU7" s="158"/>
      <c r="AV7" s="158"/>
      <c r="AX7" s="241" t="s">
        <v>287</v>
      </c>
      <c r="AY7" s="169">
        <v>31.8</v>
      </c>
      <c r="AZ7" s="188">
        <v>7.0000000000000001E-3</v>
      </c>
      <c r="BA7" s="212">
        <v>2.3E-2</v>
      </c>
      <c r="BB7" s="190">
        <v>3.3000000000000002E-2</v>
      </c>
      <c r="BC7" s="184">
        <v>3.9E-2</v>
      </c>
      <c r="BD7" s="213">
        <v>4.3999999999999997E-2</v>
      </c>
      <c r="BE7" s="210">
        <v>4.2999999999999997E-2</v>
      </c>
      <c r="BF7" s="214">
        <v>4.2000000000000003E-2</v>
      </c>
      <c r="BG7" s="173">
        <v>3.9E-2</v>
      </c>
      <c r="BH7" s="174">
        <v>3.6999999999999998E-2</v>
      </c>
      <c r="BI7" s="158"/>
      <c r="BJ7" s="158"/>
      <c r="BK7" s="158"/>
      <c r="BL7" s="158"/>
      <c r="BN7" s="241" t="s">
        <v>287</v>
      </c>
      <c r="BO7" s="169">
        <v>31.8</v>
      </c>
      <c r="BP7" s="188">
        <v>7.0000000000000001E-3</v>
      </c>
      <c r="BQ7" s="212">
        <v>2.3E-2</v>
      </c>
      <c r="BR7" s="190">
        <v>3.3000000000000002E-2</v>
      </c>
      <c r="BS7" s="184">
        <v>3.9E-2</v>
      </c>
      <c r="BT7" s="213">
        <v>4.3999999999999997E-2</v>
      </c>
      <c r="BU7" s="210">
        <v>4.2999999999999997E-2</v>
      </c>
      <c r="BV7" s="214">
        <v>4.2000000000000003E-2</v>
      </c>
      <c r="BW7" s="173">
        <v>3.9E-2</v>
      </c>
      <c r="BX7" s="174">
        <v>3.6999999999999998E-2</v>
      </c>
      <c r="BY7" s="158"/>
      <c r="BZ7" s="158"/>
      <c r="CA7" s="158"/>
      <c r="CB7" s="158"/>
      <c r="CD7" s="241" t="s">
        <v>287</v>
      </c>
      <c r="CE7" s="169">
        <v>31.8</v>
      </c>
      <c r="CF7" s="169"/>
      <c r="CG7" s="188">
        <v>7.0000000000000001E-3</v>
      </c>
      <c r="CH7" s="212">
        <v>2.3E-2</v>
      </c>
      <c r="CI7" s="190">
        <v>3.3000000000000002E-2</v>
      </c>
      <c r="CJ7" s="184">
        <v>3.9E-2</v>
      </c>
      <c r="CK7" s="213">
        <v>4.3999999999999997E-2</v>
      </c>
      <c r="CL7" s="210">
        <v>4.2999999999999997E-2</v>
      </c>
      <c r="CM7" s="214">
        <v>4.2000000000000003E-2</v>
      </c>
      <c r="CN7" s="173">
        <v>3.9E-2</v>
      </c>
      <c r="CO7" s="174">
        <v>3.6999999999999998E-2</v>
      </c>
      <c r="CP7" s="158"/>
      <c r="CQ7" s="158"/>
      <c r="CR7" s="158"/>
      <c r="CS7" s="158"/>
      <c r="CU7" s="241" t="s">
        <v>287</v>
      </c>
      <c r="CV7" s="169">
        <v>31.8</v>
      </c>
      <c r="CW7" s="188">
        <v>7.0000000000000001E-3</v>
      </c>
      <c r="CX7" s="212">
        <v>2.3E-2</v>
      </c>
      <c r="CY7" s="190">
        <v>3.3000000000000002E-2</v>
      </c>
      <c r="CZ7" s="184">
        <v>3.9E-2</v>
      </c>
      <c r="DA7" s="213">
        <v>4.3999999999999997E-2</v>
      </c>
      <c r="DB7" s="210">
        <v>4.2999999999999997E-2</v>
      </c>
      <c r="DC7" s="214">
        <v>4.2000000000000003E-2</v>
      </c>
      <c r="DD7" s="173">
        <v>3.9E-2</v>
      </c>
      <c r="DE7" s="174">
        <v>3.6999999999999998E-2</v>
      </c>
      <c r="DF7" s="158"/>
      <c r="DG7" s="158"/>
      <c r="DH7" s="158"/>
      <c r="DI7" s="158"/>
    </row>
    <row r="8" spans="1:113" x14ac:dyDescent="0.2">
      <c r="A8" s="363"/>
      <c r="B8" s="241" t="s">
        <v>288</v>
      </c>
      <c r="C8" s="169">
        <v>32.799999999999997</v>
      </c>
      <c r="D8" s="215">
        <v>8.9999999999999993E-3</v>
      </c>
      <c r="E8" s="216">
        <v>2.7E-2</v>
      </c>
      <c r="F8" s="193">
        <v>3.5999999999999997E-2</v>
      </c>
      <c r="G8" s="213">
        <v>4.3999999999999997E-2</v>
      </c>
      <c r="H8" s="217">
        <v>4.8000000000000001E-2</v>
      </c>
      <c r="I8" s="218">
        <v>4.9000000000000002E-2</v>
      </c>
      <c r="J8" s="171">
        <v>4.7E-2</v>
      </c>
      <c r="K8" s="213">
        <v>4.3999999999999997E-2</v>
      </c>
      <c r="L8" s="158"/>
      <c r="M8" s="158"/>
      <c r="N8" s="158"/>
      <c r="O8" s="158"/>
      <c r="P8" s="158"/>
      <c r="R8" s="241" t="s">
        <v>288</v>
      </c>
      <c r="S8" s="169">
        <v>32.799999999999997</v>
      </c>
      <c r="T8" s="215">
        <v>8.9999999999999993E-3</v>
      </c>
      <c r="U8" s="216">
        <v>2.7E-2</v>
      </c>
      <c r="V8" s="193">
        <v>3.5999999999999997E-2</v>
      </c>
      <c r="W8" s="213">
        <v>4.3999999999999997E-2</v>
      </c>
      <c r="X8" s="217">
        <v>4.8000000000000001E-2</v>
      </c>
      <c r="Y8" s="218">
        <v>4.9000000000000002E-2</v>
      </c>
      <c r="Z8" s="171">
        <v>4.7E-2</v>
      </c>
      <c r="AA8" s="213">
        <v>4.3999999999999997E-2</v>
      </c>
      <c r="AB8" s="158"/>
      <c r="AC8" s="158"/>
      <c r="AD8" s="158"/>
      <c r="AE8" s="158"/>
      <c r="AF8" s="158"/>
      <c r="AH8" s="241" t="s">
        <v>288</v>
      </c>
      <c r="AI8" s="169">
        <v>32.799999999999997</v>
      </c>
      <c r="AJ8" s="215">
        <v>8.9999999999999993E-3</v>
      </c>
      <c r="AK8" s="216">
        <v>2.7E-2</v>
      </c>
      <c r="AL8" s="193">
        <v>3.5999999999999997E-2</v>
      </c>
      <c r="AM8" s="213">
        <v>4.3999999999999997E-2</v>
      </c>
      <c r="AN8" s="217">
        <v>4.8000000000000001E-2</v>
      </c>
      <c r="AO8" s="218">
        <v>4.9000000000000002E-2</v>
      </c>
      <c r="AP8" s="171">
        <v>4.7E-2</v>
      </c>
      <c r="AQ8" s="213">
        <v>4.3999999999999997E-2</v>
      </c>
      <c r="AR8" s="158"/>
      <c r="AS8" s="158"/>
      <c r="AT8" s="158"/>
      <c r="AU8" s="158"/>
      <c r="AV8" s="158"/>
      <c r="AX8" s="241" t="s">
        <v>288</v>
      </c>
      <c r="AY8" s="169">
        <v>32.799999999999997</v>
      </c>
      <c r="AZ8" s="215">
        <v>8.9999999999999993E-3</v>
      </c>
      <c r="BA8" s="216">
        <v>2.7E-2</v>
      </c>
      <c r="BB8" s="193">
        <v>3.5999999999999997E-2</v>
      </c>
      <c r="BC8" s="213">
        <v>4.3999999999999997E-2</v>
      </c>
      <c r="BD8" s="217">
        <v>4.8000000000000001E-2</v>
      </c>
      <c r="BE8" s="218">
        <v>4.9000000000000002E-2</v>
      </c>
      <c r="BF8" s="171">
        <v>4.7E-2</v>
      </c>
      <c r="BG8" s="213">
        <v>4.3999999999999997E-2</v>
      </c>
      <c r="BH8" s="158"/>
      <c r="BI8" s="158"/>
      <c r="BJ8" s="158"/>
      <c r="BK8" s="158"/>
      <c r="BL8" s="158"/>
      <c r="BN8" s="241" t="s">
        <v>288</v>
      </c>
      <c r="BO8" s="169">
        <v>32.799999999999997</v>
      </c>
      <c r="BP8" s="215">
        <v>8.9999999999999993E-3</v>
      </c>
      <c r="BQ8" s="216">
        <v>2.7E-2</v>
      </c>
      <c r="BR8" s="193">
        <v>3.5999999999999997E-2</v>
      </c>
      <c r="BS8" s="213">
        <v>4.3999999999999997E-2</v>
      </c>
      <c r="BT8" s="217">
        <v>4.8000000000000001E-2</v>
      </c>
      <c r="BU8" s="218">
        <v>4.9000000000000002E-2</v>
      </c>
      <c r="BV8" s="171">
        <v>4.7E-2</v>
      </c>
      <c r="BW8" s="213">
        <v>4.3999999999999997E-2</v>
      </c>
      <c r="BX8" s="158"/>
      <c r="BY8" s="158"/>
      <c r="BZ8" s="158"/>
      <c r="CA8" s="158"/>
      <c r="CB8" s="158"/>
      <c r="CD8" s="241" t="s">
        <v>288</v>
      </c>
      <c r="CE8" s="169">
        <v>32.799999999999997</v>
      </c>
      <c r="CF8" s="169"/>
      <c r="CG8" s="215">
        <v>8.9999999999999993E-3</v>
      </c>
      <c r="CH8" s="216">
        <v>2.7E-2</v>
      </c>
      <c r="CI8" s="193">
        <v>3.5999999999999997E-2</v>
      </c>
      <c r="CJ8" s="213">
        <v>4.3999999999999997E-2</v>
      </c>
      <c r="CK8" s="217">
        <v>4.8000000000000001E-2</v>
      </c>
      <c r="CL8" s="218">
        <v>4.9000000000000002E-2</v>
      </c>
      <c r="CM8" s="171">
        <v>4.7E-2</v>
      </c>
      <c r="CN8" s="213">
        <v>4.3999999999999997E-2</v>
      </c>
      <c r="CO8" s="158"/>
      <c r="CP8" s="158"/>
      <c r="CQ8" s="158"/>
      <c r="CR8" s="158"/>
      <c r="CS8" s="158"/>
      <c r="CU8" s="241" t="s">
        <v>288</v>
      </c>
      <c r="CV8" s="169">
        <v>32.799999999999997</v>
      </c>
      <c r="CW8" s="215">
        <v>8.9999999999999993E-3</v>
      </c>
      <c r="CX8" s="216">
        <v>2.7E-2</v>
      </c>
      <c r="CY8" s="193">
        <v>3.5999999999999997E-2</v>
      </c>
      <c r="CZ8" s="213">
        <v>4.3999999999999997E-2</v>
      </c>
      <c r="DA8" s="217">
        <v>4.8000000000000001E-2</v>
      </c>
      <c r="DB8" s="218">
        <v>4.9000000000000002E-2</v>
      </c>
      <c r="DC8" s="171">
        <v>4.7E-2</v>
      </c>
      <c r="DD8" s="213">
        <v>4.3999999999999997E-2</v>
      </c>
      <c r="DE8" s="158"/>
      <c r="DF8" s="158"/>
      <c r="DG8" s="158"/>
      <c r="DH8" s="158"/>
      <c r="DI8" s="158"/>
    </row>
    <row r="9" spans="1:113" x14ac:dyDescent="0.2">
      <c r="A9" s="363"/>
      <c r="B9" s="241" t="s">
        <v>289</v>
      </c>
      <c r="C9" s="169">
        <v>32.6</v>
      </c>
      <c r="D9" s="183">
        <v>8.0000000000000002E-3</v>
      </c>
      <c r="E9" s="178">
        <v>2.4E-2</v>
      </c>
      <c r="F9" s="189">
        <v>3.5000000000000003E-2</v>
      </c>
      <c r="G9" s="180">
        <v>4.2999999999999997E-2</v>
      </c>
      <c r="H9" s="219">
        <v>4.7E-2</v>
      </c>
      <c r="I9" s="220">
        <v>4.8000000000000001E-2</v>
      </c>
      <c r="J9" s="221">
        <v>4.5999999999999999E-2</v>
      </c>
      <c r="K9" s="158"/>
      <c r="L9" s="158"/>
      <c r="M9" s="158"/>
      <c r="N9" s="158"/>
      <c r="O9" s="158"/>
      <c r="P9" s="158"/>
      <c r="R9" s="241" t="s">
        <v>289</v>
      </c>
      <c r="S9" s="169">
        <v>32.6</v>
      </c>
      <c r="T9" s="183">
        <v>8.0000000000000002E-3</v>
      </c>
      <c r="U9" s="178">
        <v>2.4E-2</v>
      </c>
      <c r="V9" s="189">
        <v>3.5000000000000003E-2</v>
      </c>
      <c r="W9" s="180">
        <v>4.2999999999999997E-2</v>
      </c>
      <c r="X9" s="219">
        <v>4.7E-2</v>
      </c>
      <c r="Y9" s="220">
        <v>4.8000000000000001E-2</v>
      </c>
      <c r="Z9" s="221">
        <v>4.5999999999999999E-2</v>
      </c>
      <c r="AA9" s="158"/>
      <c r="AB9" s="158"/>
      <c r="AC9" s="158"/>
      <c r="AD9" s="158"/>
      <c r="AE9" s="158"/>
      <c r="AF9" s="158"/>
      <c r="AH9" s="241" t="s">
        <v>289</v>
      </c>
      <c r="AI9" s="169">
        <v>32.6</v>
      </c>
      <c r="AJ9" s="183">
        <v>8.0000000000000002E-3</v>
      </c>
      <c r="AK9" s="178">
        <v>2.4E-2</v>
      </c>
      <c r="AL9" s="189">
        <v>3.5000000000000003E-2</v>
      </c>
      <c r="AM9" s="180">
        <v>4.2999999999999997E-2</v>
      </c>
      <c r="AN9" s="219">
        <v>4.7E-2</v>
      </c>
      <c r="AO9" s="220">
        <v>4.8000000000000001E-2</v>
      </c>
      <c r="AP9" s="221">
        <v>4.5999999999999999E-2</v>
      </c>
      <c r="AQ9" s="158"/>
      <c r="AR9" s="158"/>
      <c r="AS9" s="158"/>
      <c r="AT9" s="158"/>
      <c r="AU9" s="158"/>
      <c r="AV9" s="158"/>
      <c r="AX9" s="241" t="s">
        <v>289</v>
      </c>
      <c r="AY9" s="169">
        <v>32.6</v>
      </c>
      <c r="AZ9" s="183">
        <v>8.0000000000000002E-3</v>
      </c>
      <c r="BA9" s="178">
        <v>2.4E-2</v>
      </c>
      <c r="BB9" s="189">
        <v>3.5000000000000003E-2</v>
      </c>
      <c r="BC9" s="180">
        <v>4.2999999999999997E-2</v>
      </c>
      <c r="BD9" s="219">
        <v>4.7E-2</v>
      </c>
      <c r="BE9" s="220">
        <v>4.8000000000000001E-2</v>
      </c>
      <c r="BF9" s="221">
        <v>4.5999999999999999E-2</v>
      </c>
      <c r="BG9" s="158"/>
      <c r="BH9" s="158"/>
      <c r="BI9" s="158"/>
      <c r="BJ9" s="158"/>
      <c r="BK9" s="158"/>
      <c r="BL9" s="158"/>
      <c r="BN9" s="241" t="s">
        <v>289</v>
      </c>
      <c r="BO9" s="169">
        <v>32.6</v>
      </c>
      <c r="BP9" s="183">
        <v>8.0000000000000002E-3</v>
      </c>
      <c r="BQ9" s="178">
        <v>2.4E-2</v>
      </c>
      <c r="BR9" s="189">
        <v>3.5000000000000003E-2</v>
      </c>
      <c r="BS9" s="180">
        <v>4.2999999999999997E-2</v>
      </c>
      <c r="BT9" s="219">
        <v>4.7E-2</v>
      </c>
      <c r="BU9" s="220">
        <v>4.8000000000000001E-2</v>
      </c>
      <c r="BV9" s="221">
        <v>4.5999999999999999E-2</v>
      </c>
      <c r="BW9" s="158"/>
      <c r="BX9" s="158"/>
      <c r="BY9" s="158"/>
      <c r="BZ9" s="158"/>
      <c r="CA9" s="158"/>
      <c r="CB9" s="158"/>
      <c r="CD9" s="241" t="s">
        <v>289</v>
      </c>
      <c r="CE9" s="169">
        <v>32.6</v>
      </c>
      <c r="CF9" s="169"/>
      <c r="CG9" s="183">
        <v>8.0000000000000002E-3</v>
      </c>
      <c r="CH9" s="178">
        <v>2.4E-2</v>
      </c>
      <c r="CI9" s="189">
        <v>3.5000000000000003E-2</v>
      </c>
      <c r="CJ9" s="180">
        <v>4.2999999999999997E-2</v>
      </c>
      <c r="CK9" s="219">
        <v>4.7E-2</v>
      </c>
      <c r="CL9" s="220">
        <v>4.8000000000000001E-2</v>
      </c>
      <c r="CM9" s="221">
        <v>4.5999999999999999E-2</v>
      </c>
      <c r="CN9" s="158"/>
      <c r="CO9" s="158"/>
      <c r="CP9" s="158"/>
      <c r="CQ9" s="158"/>
      <c r="CR9" s="158"/>
      <c r="CS9" s="158"/>
      <c r="CU9" s="241" t="s">
        <v>289</v>
      </c>
      <c r="CV9" s="169">
        <v>32.6</v>
      </c>
      <c r="CW9" s="183">
        <v>8.0000000000000002E-3</v>
      </c>
      <c r="CX9" s="178">
        <v>2.4E-2</v>
      </c>
      <c r="CY9" s="189">
        <v>3.5000000000000003E-2</v>
      </c>
      <c r="CZ9" s="180">
        <v>4.2999999999999997E-2</v>
      </c>
      <c r="DA9" s="219">
        <v>4.7E-2</v>
      </c>
      <c r="DB9" s="220">
        <v>4.8000000000000001E-2</v>
      </c>
      <c r="DC9" s="221">
        <v>4.5999999999999999E-2</v>
      </c>
      <c r="DD9" s="158"/>
      <c r="DE9" s="158"/>
      <c r="DF9" s="158"/>
      <c r="DG9" s="158"/>
      <c r="DH9" s="158"/>
      <c r="DI9" s="158"/>
    </row>
    <row r="10" spans="1:113" x14ac:dyDescent="0.2">
      <c r="A10" s="363"/>
      <c r="B10" s="241" t="s">
        <v>259</v>
      </c>
      <c r="C10" s="169">
        <v>37.9</v>
      </c>
      <c r="D10" s="176">
        <v>7.0000000000000001E-3</v>
      </c>
      <c r="E10" s="222">
        <v>2.4E-2</v>
      </c>
      <c r="F10" s="223">
        <v>3.6999999999999998E-2</v>
      </c>
      <c r="G10" s="217">
        <v>4.8000000000000001E-2</v>
      </c>
      <c r="H10" s="224">
        <v>5.3999999999999999E-2</v>
      </c>
      <c r="I10" s="225">
        <v>5.2999999999999999E-2</v>
      </c>
      <c r="J10" s="158"/>
      <c r="K10" s="158"/>
      <c r="L10" s="158"/>
      <c r="M10" s="158"/>
      <c r="N10" s="158"/>
      <c r="O10" s="158"/>
      <c r="P10" s="158"/>
      <c r="R10" s="241" t="s">
        <v>259</v>
      </c>
      <c r="S10" s="169">
        <v>37.9</v>
      </c>
      <c r="T10" s="176">
        <v>7.0000000000000001E-3</v>
      </c>
      <c r="U10" s="222">
        <v>2.4E-2</v>
      </c>
      <c r="V10" s="223">
        <v>3.6999999999999998E-2</v>
      </c>
      <c r="W10" s="217">
        <v>4.8000000000000001E-2</v>
      </c>
      <c r="X10" s="224">
        <v>5.3999999999999999E-2</v>
      </c>
      <c r="Y10" s="225">
        <v>5.2999999999999999E-2</v>
      </c>
      <c r="Z10" s="158"/>
      <c r="AA10" s="158"/>
      <c r="AB10" s="158"/>
      <c r="AC10" s="158"/>
      <c r="AD10" s="158"/>
      <c r="AE10" s="158"/>
      <c r="AF10" s="158"/>
      <c r="AH10" s="241" t="s">
        <v>259</v>
      </c>
      <c r="AI10" s="169">
        <v>37.9</v>
      </c>
      <c r="AJ10" s="176">
        <v>7.0000000000000001E-3</v>
      </c>
      <c r="AK10" s="222">
        <v>2.4E-2</v>
      </c>
      <c r="AL10" s="223">
        <v>3.6999999999999998E-2</v>
      </c>
      <c r="AM10" s="217">
        <v>4.8000000000000001E-2</v>
      </c>
      <c r="AN10" s="224">
        <v>5.3999999999999999E-2</v>
      </c>
      <c r="AO10" s="225">
        <v>5.2999999999999999E-2</v>
      </c>
      <c r="AP10" s="158"/>
      <c r="AQ10" s="158"/>
      <c r="AR10" s="158"/>
      <c r="AS10" s="158"/>
      <c r="AT10" s="158"/>
      <c r="AU10" s="158"/>
      <c r="AV10" s="158"/>
      <c r="AX10" s="241" t="s">
        <v>259</v>
      </c>
      <c r="AY10" s="169">
        <v>37.9</v>
      </c>
      <c r="AZ10" s="176">
        <v>7.0000000000000001E-3</v>
      </c>
      <c r="BA10" s="222">
        <v>2.4E-2</v>
      </c>
      <c r="BB10" s="223">
        <v>3.6999999999999998E-2</v>
      </c>
      <c r="BC10" s="217">
        <v>4.8000000000000001E-2</v>
      </c>
      <c r="BD10" s="224">
        <v>5.3999999999999999E-2</v>
      </c>
      <c r="BE10" s="225">
        <v>5.2999999999999999E-2</v>
      </c>
      <c r="BF10" s="158"/>
      <c r="BG10" s="158"/>
      <c r="BH10" s="158"/>
      <c r="BI10" s="158"/>
      <c r="BJ10" s="158"/>
      <c r="BK10" s="158"/>
      <c r="BL10" s="158"/>
      <c r="BN10" s="241" t="s">
        <v>259</v>
      </c>
      <c r="BO10" s="169">
        <v>37.9</v>
      </c>
      <c r="BP10" s="176">
        <v>7.0000000000000001E-3</v>
      </c>
      <c r="BQ10" s="222">
        <v>2.4E-2</v>
      </c>
      <c r="BR10" s="223">
        <v>3.6999999999999998E-2</v>
      </c>
      <c r="BS10" s="217">
        <v>4.8000000000000001E-2</v>
      </c>
      <c r="BT10" s="224">
        <v>5.3999999999999999E-2</v>
      </c>
      <c r="BU10" s="225">
        <v>5.2999999999999999E-2</v>
      </c>
      <c r="BV10" s="158"/>
      <c r="BW10" s="158"/>
      <c r="BX10" s="158"/>
      <c r="BY10" s="158"/>
      <c r="BZ10" s="158"/>
      <c r="CA10" s="158"/>
      <c r="CB10" s="158"/>
      <c r="CD10" s="241" t="s">
        <v>259</v>
      </c>
      <c r="CE10" s="169">
        <v>37.9</v>
      </c>
      <c r="CF10" s="169"/>
      <c r="CG10" s="176">
        <v>7.0000000000000001E-3</v>
      </c>
      <c r="CH10" s="222">
        <v>2.4E-2</v>
      </c>
      <c r="CI10" s="223">
        <v>3.6999999999999998E-2</v>
      </c>
      <c r="CJ10" s="217">
        <v>4.8000000000000001E-2</v>
      </c>
      <c r="CK10" s="224">
        <v>5.3999999999999999E-2</v>
      </c>
      <c r="CL10" s="225">
        <v>5.2999999999999999E-2</v>
      </c>
      <c r="CM10" s="158"/>
      <c r="CN10" s="158"/>
      <c r="CO10" s="158"/>
      <c r="CP10" s="158"/>
      <c r="CQ10" s="158"/>
      <c r="CR10" s="158"/>
      <c r="CS10" s="158"/>
      <c r="CU10" s="241" t="s">
        <v>259</v>
      </c>
      <c r="CV10" s="169">
        <v>37.9</v>
      </c>
      <c r="CW10" s="176">
        <v>7.0000000000000001E-3</v>
      </c>
      <c r="CX10" s="222">
        <v>2.4E-2</v>
      </c>
      <c r="CY10" s="223">
        <v>3.6999999999999998E-2</v>
      </c>
      <c r="CZ10" s="217">
        <v>4.8000000000000001E-2</v>
      </c>
      <c r="DA10" s="224">
        <v>5.3999999999999999E-2</v>
      </c>
      <c r="DB10" s="225">
        <v>5.2999999999999999E-2</v>
      </c>
      <c r="DC10" s="158"/>
      <c r="DD10" s="158"/>
      <c r="DE10" s="158"/>
      <c r="DF10" s="158"/>
      <c r="DG10" s="158"/>
      <c r="DH10" s="158"/>
      <c r="DI10" s="158"/>
    </row>
    <row r="11" spans="1:113" x14ac:dyDescent="0.2">
      <c r="A11" s="363"/>
      <c r="B11" s="241" t="s">
        <v>260</v>
      </c>
      <c r="C11" s="169">
        <v>51.8</v>
      </c>
      <c r="D11" s="164">
        <v>8.9999999999999993E-3</v>
      </c>
      <c r="E11" s="226">
        <v>2.5000000000000001E-2</v>
      </c>
      <c r="F11" s="160">
        <v>3.5999999999999997E-2</v>
      </c>
      <c r="G11" s="227">
        <v>4.7E-2</v>
      </c>
      <c r="H11" s="228">
        <v>0.05</v>
      </c>
      <c r="I11" s="158"/>
      <c r="J11" s="158"/>
      <c r="K11" s="158"/>
      <c r="L11" s="158"/>
      <c r="M11" s="158"/>
      <c r="N11" s="158"/>
      <c r="O11" s="158"/>
      <c r="P11" s="158"/>
      <c r="R11" s="241" t="s">
        <v>260</v>
      </c>
      <c r="S11" s="169">
        <v>51.8</v>
      </c>
      <c r="T11" s="164">
        <v>8.9999999999999993E-3</v>
      </c>
      <c r="U11" s="226">
        <v>2.5000000000000001E-2</v>
      </c>
      <c r="V11" s="160">
        <v>3.5999999999999997E-2</v>
      </c>
      <c r="W11" s="227">
        <v>4.7E-2</v>
      </c>
      <c r="X11" s="228">
        <v>0.05</v>
      </c>
      <c r="Y11" s="158"/>
      <c r="Z11" s="158"/>
      <c r="AA11" s="158"/>
      <c r="AB11" s="158"/>
      <c r="AC11" s="158"/>
      <c r="AD11" s="158"/>
      <c r="AE11" s="158"/>
      <c r="AF11" s="158"/>
      <c r="AH11" s="241" t="s">
        <v>260</v>
      </c>
      <c r="AI11" s="169">
        <v>51.8</v>
      </c>
      <c r="AJ11" s="164">
        <v>8.9999999999999993E-3</v>
      </c>
      <c r="AK11" s="226">
        <v>2.5000000000000001E-2</v>
      </c>
      <c r="AL11" s="160">
        <v>3.5999999999999997E-2</v>
      </c>
      <c r="AM11" s="227">
        <v>4.7E-2</v>
      </c>
      <c r="AN11" s="228">
        <v>0.05</v>
      </c>
      <c r="AO11" s="158"/>
      <c r="AP11" s="158"/>
      <c r="AQ11" s="158"/>
      <c r="AR11" s="158"/>
      <c r="AS11" s="158"/>
      <c r="AT11" s="158"/>
      <c r="AU11" s="158"/>
      <c r="AV11" s="158"/>
      <c r="AX11" s="241" t="s">
        <v>260</v>
      </c>
      <c r="AY11" s="169">
        <v>51.8</v>
      </c>
      <c r="AZ11" s="164">
        <v>8.9999999999999993E-3</v>
      </c>
      <c r="BA11" s="226">
        <v>2.5000000000000001E-2</v>
      </c>
      <c r="BB11" s="160">
        <v>3.5999999999999997E-2</v>
      </c>
      <c r="BC11" s="227">
        <v>4.7E-2</v>
      </c>
      <c r="BD11" s="228">
        <v>0.05</v>
      </c>
      <c r="BE11" s="158"/>
      <c r="BF11" s="158"/>
      <c r="BG11" s="158"/>
      <c r="BH11" s="158"/>
      <c r="BI11" s="158"/>
      <c r="BJ11" s="158"/>
      <c r="BK11" s="158"/>
      <c r="BL11" s="158"/>
      <c r="BN11" s="241" t="s">
        <v>260</v>
      </c>
      <c r="BO11" s="169">
        <v>51.8</v>
      </c>
      <c r="BP11" s="164">
        <v>8.9999999999999993E-3</v>
      </c>
      <c r="BQ11" s="226">
        <v>2.5000000000000001E-2</v>
      </c>
      <c r="BR11" s="160">
        <v>3.5999999999999997E-2</v>
      </c>
      <c r="BS11" s="227">
        <v>4.7E-2</v>
      </c>
      <c r="BT11" s="228">
        <v>0.05</v>
      </c>
      <c r="BU11" s="158"/>
      <c r="BV11" s="158"/>
      <c r="BW11" s="158"/>
      <c r="BX11" s="158"/>
      <c r="BY11" s="158"/>
      <c r="BZ11" s="158"/>
      <c r="CA11" s="158"/>
      <c r="CB11" s="158"/>
      <c r="CD11" s="241" t="s">
        <v>260</v>
      </c>
      <c r="CE11" s="169">
        <v>51.8</v>
      </c>
      <c r="CF11" s="169"/>
      <c r="CG11" s="164">
        <v>8.9999999999999993E-3</v>
      </c>
      <c r="CH11" s="226">
        <v>2.5000000000000001E-2</v>
      </c>
      <c r="CI11" s="160">
        <v>3.5999999999999997E-2</v>
      </c>
      <c r="CJ11" s="227">
        <v>4.7E-2</v>
      </c>
      <c r="CK11" s="228">
        <v>0.05</v>
      </c>
      <c r="CL11" s="158"/>
      <c r="CM11" s="158"/>
      <c r="CN11" s="158"/>
      <c r="CO11" s="158"/>
      <c r="CP11" s="158"/>
      <c r="CQ11" s="158"/>
      <c r="CR11" s="158"/>
      <c r="CS11" s="158"/>
      <c r="CU11" s="241" t="s">
        <v>260</v>
      </c>
      <c r="CV11" s="169">
        <v>51.8</v>
      </c>
      <c r="CW11" s="164">
        <v>8.9999999999999993E-3</v>
      </c>
      <c r="CX11" s="226">
        <v>2.5000000000000001E-2</v>
      </c>
      <c r="CY11" s="160">
        <v>3.5999999999999997E-2</v>
      </c>
      <c r="CZ11" s="227">
        <v>4.7E-2</v>
      </c>
      <c r="DA11" s="228">
        <v>0.05</v>
      </c>
      <c r="DB11" s="158"/>
      <c r="DC11" s="158"/>
      <c r="DD11" s="158"/>
      <c r="DE11" s="158"/>
      <c r="DF11" s="158"/>
      <c r="DG11" s="158"/>
      <c r="DH11" s="158"/>
      <c r="DI11" s="158"/>
    </row>
    <row r="12" spans="1:113" x14ac:dyDescent="0.2">
      <c r="A12" s="363"/>
      <c r="B12" s="241" t="s">
        <v>261</v>
      </c>
      <c r="C12" s="169">
        <v>51.8</v>
      </c>
      <c r="D12" s="229">
        <v>7.0000000000000001E-3</v>
      </c>
      <c r="E12" s="230">
        <v>2.4E-2</v>
      </c>
      <c r="F12" s="201">
        <v>3.7999999999999999E-2</v>
      </c>
      <c r="G12" s="231">
        <v>4.4999999999999998E-2</v>
      </c>
      <c r="H12" s="158"/>
      <c r="I12" s="158"/>
      <c r="J12" s="158"/>
      <c r="K12" s="158"/>
      <c r="L12" s="158"/>
      <c r="M12" s="158"/>
      <c r="N12" s="158"/>
      <c r="O12" s="158"/>
      <c r="P12" s="158"/>
      <c r="R12" s="241" t="s">
        <v>261</v>
      </c>
      <c r="S12" s="169">
        <v>51.8</v>
      </c>
      <c r="T12" s="229">
        <v>7.0000000000000001E-3</v>
      </c>
      <c r="U12" s="230">
        <v>2.4E-2</v>
      </c>
      <c r="V12" s="201">
        <v>3.7999999999999999E-2</v>
      </c>
      <c r="W12" s="231">
        <v>4.4999999999999998E-2</v>
      </c>
      <c r="X12" s="158"/>
      <c r="Y12" s="158"/>
      <c r="Z12" s="158"/>
      <c r="AA12" s="158"/>
      <c r="AB12" s="158"/>
      <c r="AC12" s="158"/>
      <c r="AD12" s="158"/>
      <c r="AE12" s="158"/>
      <c r="AF12" s="158"/>
      <c r="AH12" s="241" t="s">
        <v>261</v>
      </c>
      <c r="AI12" s="169">
        <v>51.8</v>
      </c>
      <c r="AJ12" s="229">
        <v>7.0000000000000001E-3</v>
      </c>
      <c r="AK12" s="230">
        <v>2.4E-2</v>
      </c>
      <c r="AL12" s="201">
        <v>3.7999999999999999E-2</v>
      </c>
      <c r="AM12" s="231">
        <v>4.4999999999999998E-2</v>
      </c>
      <c r="AN12" s="158"/>
      <c r="AO12" s="158"/>
      <c r="AP12" s="158"/>
      <c r="AQ12" s="158"/>
      <c r="AR12" s="158"/>
      <c r="AS12" s="158"/>
      <c r="AT12" s="158"/>
      <c r="AU12" s="158"/>
      <c r="AV12" s="158"/>
      <c r="AX12" s="241" t="s">
        <v>261</v>
      </c>
      <c r="AY12" s="169">
        <v>51.8</v>
      </c>
      <c r="AZ12" s="229">
        <v>7.0000000000000001E-3</v>
      </c>
      <c r="BA12" s="230">
        <v>2.4E-2</v>
      </c>
      <c r="BB12" s="201">
        <v>3.7999999999999999E-2</v>
      </c>
      <c r="BC12" s="231">
        <v>4.4999999999999998E-2</v>
      </c>
      <c r="BD12" s="158"/>
      <c r="BE12" s="158"/>
      <c r="BF12" s="158"/>
      <c r="BG12" s="158"/>
      <c r="BH12" s="158"/>
      <c r="BI12" s="158"/>
      <c r="BJ12" s="158"/>
      <c r="BK12" s="158"/>
      <c r="BL12" s="158"/>
      <c r="BN12" s="241" t="s">
        <v>261</v>
      </c>
      <c r="BO12" s="169">
        <v>51.8</v>
      </c>
      <c r="BP12" s="229">
        <v>7.0000000000000001E-3</v>
      </c>
      <c r="BQ12" s="230">
        <v>2.4E-2</v>
      </c>
      <c r="BR12" s="201">
        <v>3.7999999999999999E-2</v>
      </c>
      <c r="BS12" s="231">
        <v>4.4999999999999998E-2</v>
      </c>
      <c r="BT12" s="158"/>
      <c r="BU12" s="158"/>
      <c r="BV12" s="158"/>
      <c r="BW12" s="158"/>
      <c r="BX12" s="158"/>
      <c r="BY12" s="158"/>
      <c r="BZ12" s="158"/>
      <c r="CA12" s="158"/>
      <c r="CB12" s="158"/>
      <c r="CD12" s="241" t="s">
        <v>261</v>
      </c>
      <c r="CE12" s="169">
        <v>51.8</v>
      </c>
      <c r="CF12" s="169"/>
      <c r="CG12" s="229">
        <v>7.0000000000000001E-3</v>
      </c>
      <c r="CH12" s="230">
        <v>2.4E-2</v>
      </c>
      <c r="CI12" s="201">
        <v>3.7999999999999999E-2</v>
      </c>
      <c r="CJ12" s="231">
        <v>4.4999999999999998E-2</v>
      </c>
      <c r="CK12" s="158"/>
      <c r="CL12" s="158"/>
      <c r="CM12" s="158"/>
      <c r="CN12" s="158"/>
      <c r="CO12" s="158"/>
      <c r="CP12" s="158"/>
      <c r="CQ12" s="158"/>
      <c r="CR12" s="158"/>
      <c r="CS12" s="158"/>
      <c r="CU12" s="241" t="s">
        <v>261</v>
      </c>
      <c r="CV12" s="169">
        <v>51.8</v>
      </c>
      <c r="CW12" s="229">
        <v>7.0000000000000001E-3</v>
      </c>
      <c r="CX12" s="230">
        <v>2.4E-2</v>
      </c>
      <c r="CY12" s="201">
        <v>3.7999999999999999E-2</v>
      </c>
      <c r="CZ12" s="231">
        <v>4.4999999999999998E-2</v>
      </c>
      <c r="DA12" s="158"/>
      <c r="DB12" s="158"/>
      <c r="DC12" s="158"/>
      <c r="DD12" s="158"/>
      <c r="DE12" s="158"/>
      <c r="DF12" s="158"/>
      <c r="DG12" s="158"/>
      <c r="DH12" s="158"/>
      <c r="DI12" s="158"/>
    </row>
    <row r="13" spans="1:113" x14ac:dyDescent="0.2">
      <c r="A13" s="363"/>
      <c r="B13" s="241" t="s">
        <v>262</v>
      </c>
      <c r="C13" s="169">
        <v>51.3</v>
      </c>
      <c r="D13" s="232">
        <v>8.9999999999999993E-3</v>
      </c>
      <c r="E13" s="233">
        <v>2.5999999999999999E-2</v>
      </c>
      <c r="F13" s="234">
        <v>3.7999999999999999E-2</v>
      </c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R13" s="241" t="s">
        <v>262</v>
      </c>
      <c r="S13" s="169">
        <v>51.3</v>
      </c>
      <c r="T13" s="232">
        <v>8.9999999999999993E-3</v>
      </c>
      <c r="U13" s="233">
        <v>2.5999999999999999E-2</v>
      </c>
      <c r="V13" s="234">
        <v>3.7999999999999999E-2</v>
      </c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H13" s="241" t="s">
        <v>262</v>
      </c>
      <c r="AI13" s="169">
        <v>51.3</v>
      </c>
      <c r="AJ13" s="232">
        <v>8.9999999999999993E-3</v>
      </c>
      <c r="AK13" s="233">
        <v>2.5999999999999999E-2</v>
      </c>
      <c r="AL13" s="234">
        <v>3.7999999999999999E-2</v>
      </c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X13" s="241" t="s">
        <v>262</v>
      </c>
      <c r="AY13" s="169">
        <v>51.3</v>
      </c>
      <c r="AZ13" s="232">
        <v>8.9999999999999993E-3</v>
      </c>
      <c r="BA13" s="233">
        <v>2.5999999999999999E-2</v>
      </c>
      <c r="BB13" s="234">
        <v>3.7999999999999999E-2</v>
      </c>
      <c r="BC13" s="158"/>
      <c r="BD13" s="158"/>
      <c r="BE13" s="158"/>
      <c r="BF13" s="158"/>
      <c r="BG13" s="158"/>
      <c r="BH13" s="158"/>
      <c r="BI13" s="158"/>
      <c r="BJ13" s="158"/>
      <c r="BK13" s="158"/>
      <c r="BL13" s="158"/>
      <c r="BN13" s="241" t="s">
        <v>262</v>
      </c>
      <c r="BO13" s="169">
        <v>51.3</v>
      </c>
      <c r="BP13" s="232">
        <v>8.9999999999999993E-3</v>
      </c>
      <c r="BQ13" s="233">
        <v>2.5999999999999999E-2</v>
      </c>
      <c r="BR13" s="234">
        <v>3.7999999999999999E-2</v>
      </c>
      <c r="BS13" s="158"/>
      <c r="BT13" s="158"/>
      <c r="BU13" s="158"/>
      <c r="BV13" s="158"/>
      <c r="BW13" s="158"/>
      <c r="BX13" s="158"/>
      <c r="BY13" s="158"/>
      <c r="BZ13" s="158"/>
      <c r="CA13" s="158"/>
      <c r="CB13" s="158"/>
      <c r="CD13" s="241" t="s">
        <v>262</v>
      </c>
      <c r="CE13" s="169">
        <v>51.3</v>
      </c>
      <c r="CF13" s="169"/>
      <c r="CG13" s="232">
        <v>8.9999999999999993E-3</v>
      </c>
      <c r="CH13" s="233">
        <v>2.5999999999999999E-2</v>
      </c>
      <c r="CI13" s="234">
        <v>3.7999999999999999E-2</v>
      </c>
      <c r="CJ13" s="158"/>
      <c r="CK13" s="158"/>
      <c r="CL13" s="158"/>
      <c r="CM13" s="158"/>
      <c r="CN13" s="158"/>
      <c r="CO13" s="158"/>
      <c r="CP13" s="158"/>
      <c r="CQ13" s="158"/>
      <c r="CR13" s="158"/>
      <c r="CS13" s="158"/>
      <c r="CU13" s="241" t="s">
        <v>262</v>
      </c>
      <c r="CV13" s="169">
        <v>51.3</v>
      </c>
      <c r="CW13" s="232">
        <v>8.9999999999999993E-3</v>
      </c>
      <c r="CX13" s="233">
        <v>2.5999999999999999E-2</v>
      </c>
      <c r="CY13" s="234">
        <v>3.7999999999999999E-2</v>
      </c>
      <c r="CZ13" s="158"/>
      <c r="DA13" s="158"/>
      <c r="DB13" s="158"/>
      <c r="DC13" s="158"/>
      <c r="DD13" s="158"/>
      <c r="DE13" s="158"/>
      <c r="DF13" s="158"/>
      <c r="DG13" s="158"/>
      <c r="DH13" s="158"/>
      <c r="DI13" s="158"/>
    </row>
    <row r="14" spans="1:113" x14ac:dyDescent="0.2">
      <c r="A14" s="363"/>
      <c r="B14" s="241" t="s">
        <v>263</v>
      </c>
      <c r="C14" s="169">
        <v>57.6</v>
      </c>
      <c r="D14" s="235">
        <v>8.9999999999999993E-3</v>
      </c>
      <c r="E14" s="236">
        <v>2.5000000000000001E-2</v>
      </c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R14" s="241" t="s">
        <v>263</v>
      </c>
      <c r="S14" s="169">
        <v>57.6</v>
      </c>
      <c r="T14" s="235">
        <v>8.9999999999999993E-3</v>
      </c>
      <c r="U14" s="236">
        <v>2.5000000000000001E-2</v>
      </c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H14" s="241" t="s">
        <v>263</v>
      </c>
      <c r="AI14" s="169">
        <v>57.6</v>
      </c>
      <c r="AJ14" s="235">
        <v>8.9999999999999993E-3</v>
      </c>
      <c r="AK14" s="236">
        <v>2.5000000000000001E-2</v>
      </c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X14" s="241" t="s">
        <v>263</v>
      </c>
      <c r="AY14" s="169">
        <v>57.6</v>
      </c>
      <c r="AZ14" s="235">
        <v>8.9999999999999993E-3</v>
      </c>
      <c r="BA14" s="236">
        <v>2.5000000000000001E-2</v>
      </c>
      <c r="BB14" s="158"/>
      <c r="BC14" s="158"/>
      <c r="BD14" s="158"/>
      <c r="BE14" s="158"/>
      <c r="BF14" s="158"/>
      <c r="BG14" s="158"/>
      <c r="BH14" s="158"/>
      <c r="BI14" s="158"/>
      <c r="BJ14" s="158"/>
      <c r="BK14" s="158"/>
      <c r="BL14" s="158"/>
      <c r="BN14" s="241" t="s">
        <v>263</v>
      </c>
      <c r="BO14" s="169">
        <v>57.6</v>
      </c>
      <c r="BP14" s="235">
        <v>8.9999999999999993E-3</v>
      </c>
      <c r="BQ14" s="236">
        <v>2.5000000000000001E-2</v>
      </c>
      <c r="BR14" s="158"/>
      <c r="BS14" s="158"/>
      <c r="BT14" s="158"/>
      <c r="BU14" s="158"/>
      <c r="BV14" s="158"/>
      <c r="BW14" s="158"/>
      <c r="BX14" s="158"/>
      <c r="BY14" s="158"/>
      <c r="BZ14" s="158"/>
      <c r="CA14" s="158"/>
      <c r="CB14" s="158"/>
      <c r="CD14" s="241" t="s">
        <v>263</v>
      </c>
      <c r="CE14" s="169">
        <v>57.6</v>
      </c>
      <c r="CF14" s="169"/>
      <c r="CG14" s="235">
        <v>8.9999999999999993E-3</v>
      </c>
      <c r="CH14" s="236">
        <v>2.5000000000000001E-2</v>
      </c>
      <c r="CI14" s="158"/>
      <c r="CJ14" s="158"/>
      <c r="CK14" s="158"/>
      <c r="CL14" s="158"/>
      <c r="CM14" s="158"/>
      <c r="CN14" s="158"/>
      <c r="CO14" s="158"/>
      <c r="CP14" s="158"/>
      <c r="CQ14" s="158"/>
      <c r="CR14" s="158"/>
      <c r="CS14" s="158"/>
      <c r="CU14" s="241" t="s">
        <v>263</v>
      </c>
      <c r="CV14" s="169">
        <v>57.6</v>
      </c>
      <c r="CW14" s="235">
        <v>8.9999999999999993E-3</v>
      </c>
      <c r="CX14" s="236">
        <v>2.5000000000000001E-2</v>
      </c>
      <c r="CY14" s="158"/>
      <c r="CZ14" s="158"/>
      <c r="DA14" s="158"/>
      <c r="DB14" s="158"/>
      <c r="DC14" s="158"/>
      <c r="DD14" s="158"/>
      <c r="DE14" s="158"/>
      <c r="DF14" s="158"/>
      <c r="DG14" s="158"/>
      <c r="DH14" s="158"/>
      <c r="DI14" s="158"/>
    </row>
    <row r="15" spans="1:113" ht="16" thickBot="1" x14ac:dyDescent="0.25">
      <c r="A15" s="364"/>
      <c r="B15" s="242" t="s">
        <v>271</v>
      </c>
      <c r="C15" s="237">
        <v>53.5</v>
      </c>
      <c r="D15" s="238">
        <v>7.0000000000000001E-3</v>
      </c>
      <c r="E15" s="239"/>
      <c r="F15" s="239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R15" s="242" t="s">
        <v>271</v>
      </c>
      <c r="S15" s="237">
        <v>53.5</v>
      </c>
      <c r="T15" s="238">
        <v>7.0000000000000001E-3</v>
      </c>
      <c r="U15" s="23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  <c r="AH15" s="242" t="s">
        <v>271</v>
      </c>
      <c r="AI15" s="237">
        <v>53.5</v>
      </c>
      <c r="AJ15" s="238">
        <v>7.0000000000000001E-3</v>
      </c>
      <c r="AK15" s="239"/>
      <c r="AL15" s="239"/>
      <c r="AM15" s="239"/>
      <c r="AN15" s="239"/>
      <c r="AO15" s="239"/>
      <c r="AP15" s="239"/>
      <c r="AQ15" s="239"/>
      <c r="AR15" s="239"/>
      <c r="AS15" s="239"/>
      <c r="AT15" s="239"/>
      <c r="AU15" s="239"/>
      <c r="AV15" s="239"/>
      <c r="AX15" s="242" t="s">
        <v>271</v>
      </c>
      <c r="AY15" s="237">
        <v>53.5</v>
      </c>
      <c r="AZ15" s="238">
        <v>7.0000000000000001E-3</v>
      </c>
      <c r="BA15" s="239"/>
      <c r="BB15" s="239"/>
      <c r="BC15" s="239"/>
      <c r="BD15" s="239"/>
      <c r="BE15" s="239"/>
      <c r="BF15" s="239"/>
      <c r="BG15" s="239"/>
      <c r="BH15" s="239"/>
      <c r="BI15" s="239"/>
      <c r="BJ15" s="239"/>
      <c r="BK15" s="239"/>
      <c r="BL15" s="239"/>
      <c r="BN15" s="242" t="s">
        <v>271</v>
      </c>
      <c r="BO15" s="237">
        <v>53.5</v>
      </c>
      <c r="BP15" s="238">
        <v>7.0000000000000001E-3</v>
      </c>
      <c r="BQ15" s="239"/>
      <c r="BR15" s="239"/>
      <c r="BS15" s="239"/>
      <c r="BT15" s="239"/>
      <c r="BU15" s="239"/>
      <c r="BV15" s="239"/>
      <c r="BW15" s="239"/>
      <c r="BX15" s="239"/>
      <c r="BY15" s="239"/>
      <c r="BZ15" s="239"/>
      <c r="CA15" s="239"/>
      <c r="CB15" s="239"/>
      <c r="CD15" s="242" t="s">
        <v>271</v>
      </c>
      <c r="CE15" s="237">
        <v>53.5</v>
      </c>
      <c r="CF15" s="237"/>
      <c r="CG15" s="238">
        <v>7.0000000000000001E-3</v>
      </c>
      <c r="CH15" s="239"/>
      <c r="CI15" s="239"/>
      <c r="CJ15" s="239"/>
      <c r="CK15" s="239"/>
      <c r="CL15" s="239"/>
      <c r="CM15" s="239"/>
      <c r="CN15" s="239"/>
      <c r="CO15" s="239"/>
      <c r="CP15" s="239"/>
      <c r="CQ15" s="239"/>
      <c r="CR15" s="239"/>
      <c r="CS15" s="239"/>
      <c r="CU15" s="242" t="s">
        <v>271</v>
      </c>
      <c r="CV15" s="237">
        <v>53.5</v>
      </c>
      <c r="CW15" s="238">
        <v>7.0000000000000001E-3</v>
      </c>
      <c r="CX15" s="239"/>
      <c r="CY15" s="239"/>
      <c r="CZ15" s="239"/>
      <c r="DA15" s="239"/>
      <c r="DB15" s="239"/>
      <c r="DC15" s="239"/>
      <c r="DD15" s="239"/>
      <c r="DE15" s="239"/>
      <c r="DF15" s="239"/>
      <c r="DG15" s="239"/>
      <c r="DH15" s="239"/>
      <c r="DI15" s="239"/>
    </row>
    <row r="16" spans="1:113" ht="16" thickBot="1" x14ac:dyDescent="0.25"/>
    <row r="17" spans="1:113" x14ac:dyDescent="0.2">
      <c r="A17" s="362" t="s">
        <v>290</v>
      </c>
      <c r="B17" s="361" t="s">
        <v>274</v>
      </c>
      <c r="C17" s="361"/>
      <c r="D17" s="361"/>
      <c r="E17" s="361"/>
      <c r="F17" s="361"/>
      <c r="G17" s="361"/>
      <c r="H17" s="361"/>
      <c r="I17" s="361"/>
      <c r="J17" s="361"/>
      <c r="K17" s="361"/>
      <c r="L17" s="361"/>
      <c r="M17" s="361"/>
      <c r="N17" s="361"/>
      <c r="O17" s="361"/>
      <c r="P17" s="361"/>
      <c r="R17" s="361" t="s">
        <v>275</v>
      </c>
      <c r="S17" s="361"/>
      <c r="T17" s="361"/>
      <c r="U17" s="361"/>
      <c r="V17" s="361"/>
      <c r="W17" s="361"/>
      <c r="X17" s="361"/>
      <c r="Y17" s="361"/>
      <c r="Z17" s="361"/>
      <c r="AA17" s="361"/>
      <c r="AB17" s="361"/>
      <c r="AC17" s="361"/>
      <c r="AD17" s="361"/>
      <c r="AE17" s="361"/>
      <c r="AF17" s="361"/>
      <c r="AH17" s="361" t="s">
        <v>276</v>
      </c>
      <c r="AI17" s="361"/>
      <c r="AJ17" s="361"/>
      <c r="AK17" s="361"/>
      <c r="AL17" s="361"/>
      <c r="AM17" s="361"/>
      <c r="AN17" s="361"/>
      <c r="AO17" s="361"/>
      <c r="AP17" s="361"/>
      <c r="AQ17" s="361"/>
      <c r="AR17" s="361"/>
      <c r="AS17" s="361"/>
      <c r="AT17" s="361"/>
      <c r="AU17" s="361"/>
      <c r="AV17" s="361"/>
      <c r="AX17" s="361" t="s">
        <v>277</v>
      </c>
      <c r="AY17" s="361"/>
      <c r="AZ17" s="361"/>
      <c r="BA17" s="361"/>
      <c r="BB17" s="361"/>
      <c r="BC17" s="361"/>
      <c r="BD17" s="361"/>
      <c r="BE17" s="361"/>
      <c r="BF17" s="361"/>
      <c r="BG17" s="361"/>
      <c r="BH17" s="361"/>
      <c r="BI17" s="361"/>
      <c r="BJ17" s="361"/>
      <c r="BK17" s="361"/>
      <c r="BL17" s="361"/>
      <c r="BN17" s="361" t="s">
        <v>278</v>
      </c>
      <c r="BO17" s="361"/>
      <c r="BP17" s="361"/>
      <c r="BQ17" s="361"/>
      <c r="BR17" s="361"/>
      <c r="BS17" s="361"/>
      <c r="BT17" s="361"/>
      <c r="BU17" s="361"/>
      <c r="BV17" s="361"/>
      <c r="BW17" s="361"/>
      <c r="BX17" s="361"/>
      <c r="BY17" s="361"/>
      <c r="BZ17" s="361"/>
      <c r="CA17" s="361"/>
      <c r="CB17" s="361"/>
      <c r="CD17" s="361" t="s">
        <v>279</v>
      </c>
      <c r="CE17" s="361"/>
      <c r="CF17" s="361"/>
      <c r="CG17" s="361"/>
      <c r="CH17" s="361"/>
      <c r="CI17" s="361"/>
      <c r="CJ17" s="361"/>
      <c r="CK17" s="361"/>
      <c r="CL17" s="361"/>
      <c r="CM17" s="361"/>
      <c r="CN17" s="361"/>
      <c r="CO17" s="361"/>
      <c r="CP17" s="361"/>
      <c r="CQ17" s="361"/>
      <c r="CR17" s="361"/>
      <c r="CS17" s="361"/>
      <c r="CU17" s="361" t="s">
        <v>280</v>
      </c>
      <c r="CV17" s="361"/>
      <c r="CW17" s="361"/>
      <c r="CX17" s="361"/>
      <c r="CY17" s="361"/>
      <c r="CZ17" s="361"/>
      <c r="DA17" s="361"/>
      <c r="DB17" s="361"/>
      <c r="DC17" s="361"/>
      <c r="DD17" s="361"/>
      <c r="DE17" s="361"/>
      <c r="DF17" s="361"/>
      <c r="DG17" s="361"/>
      <c r="DH17" s="361"/>
      <c r="DI17" s="361"/>
    </row>
    <row r="18" spans="1:113" x14ac:dyDescent="0.2">
      <c r="A18" s="363"/>
      <c r="B18" s="240" t="s">
        <v>126</v>
      </c>
      <c r="C18" s="157" t="s">
        <v>281</v>
      </c>
      <c r="D18" s="157">
        <v>1</v>
      </c>
      <c r="E18" s="157">
        <v>2</v>
      </c>
      <c r="F18" s="157">
        <v>3</v>
      </c>
      <c r="G18" s="157">
        <v>4</v>
      </c>
      <c r="H18" s="157">
        <v>5</v>
      </c>
      <c r="I18" s="157">
        <v>6</v>
      </c>
      <c r="J18" s="157">
        <v>7</v>
      </c>
      <c r="K18" s="157">
        <v>8</v>
      </c>
      <c r="L18" s="157">
        <v>9</v>
      </c>
      <c r="M18" s="157">
        <v>10</v>
      </c>
      <c r="N18" s="157">
        <v>11</v>
      </c>
      <c r="O18" s="157">
        <v>12</v>
      </c>
      <c r="P18" s="157">
        <v>13</v>
      </c>
      <c r="R18" s="240" t="s">
        <v>126</v>
      </c>
      <c r="S18" s="157" t="s">
        <v>281</v>
      </c>
      <c r="T18" s="157">
        <v>2</v>
      </c>
      <c r="U18" s="157">
        <v>3</v>
      </c>
      <c r="V18" s="157">
        <v>4</v>
      </c>
      <c r="W18" s="157">
        <v>5</v>
      </c>
      <c r="X18" s="157">
        <v>6</v>
      </c>
      <c r="Y18" s="157">
        <v>7</v>
      </c>
      <c r="Z18" s="157">
        <v>8</v>
      </c>
      <c r="AA18" s="157">
        <v>9</v>
      </c>
      <c r="AB18" s="157">
        <v>10</v>
      </c>
      <c r="AC18" s="157">
        <v>11</v>
      </c>
      <c r="AD18" s="157">
        <v>12</v>
      </c>
      <c r="AE18" s="157">
        <v>13</v>
      </c>
      <c r="AF18" s="157">
        <v>14</v>
      </c>
      <c r="AH18" s="240" t="s">
        <v>126</v>
      </c>
      <c r="AI18" s="157" t="s">
        <v>281</v>
      </c>
      <c r="AJ18" s="157">
        <v>3</v>
      </c>
      <c r="AK18" s="157">
        <v>4</v>
      </c>
      <c r="AL18" s="157">
        <v>5</v>
      </c>
      <c r="AM18" s="157">
        <v>6</v>
      </c>
      <c r="AN18" s="157">
        <v>7</v>
      </c>
      <c r="AO18" s="157">
        <v>8</v>
      </c>
      <c r="AP18" s="157">
        <v>9</v>
      </c>
      <c r="AQ18" s="157">
        <v>10</v>
      </c>
      <c r="AR18" s="157">
        <v>11</v>
      </c>
      <c r="AS18" s="157">
        <v>12</v>
      </c>
      <c r="AT18" s="157">
        <v>13</v>
      </c>
      <c r="AU18" s="157">
        <v>14</v>
      </c>
      <c r="AV18" s="157">
        <v>15</v>
      </c>
      <c r="AX18" s="240" t="s">
        <v>126</v>
      </c>
      <c r="AY18" s="157" t="s">
        <v>281</v>
      </c>
      <c r="AZ18" s="157">
        <v>4</v>
      </c>
      <c r="BA18" s="157">
        <v>5</v>
      </c>
      <c r="BB18" s="157">
        <v>6</v>
      </c>
      <c r="BC18" s="157">
        <v>7</v>
      </c>
      <c r="BD18" s="157">
        <v>8</v>
      </c>
      <c r="BE18" s="157">
        <v>9</v>
      </c>
      <c r="BF18" s="157">
        <v>10</v>
      </c>
      <c r="BG18" s="157">
        <v>11</v>
      </c>
      <c r="BH18" s="157">
        <v>12</v>
      </c>
      <c r="BI18" s="157">
        <v>13</v>
      </c>
      <c r="BJ18" s="157">
        <v>14</v>
      </c>
      <c r="BK18" s="157">
        <v>15</v>
      </c>
      <c r="BL18" s="157">
        <v>16</v>
      </c>
      <c r="BN18" s="240" t="s">
        <v>126</v>
      </c>
      <c r="BO18" s="157" t="s">
        <v>281</v>
      </c>
      <c r="BP18" s="157">
        <v>4</v>
      </c>
      <c r="BQ18" s="157">
        <v>5</v>
      </c>
      <c r="BR18" s="157">
        <v>6</v>
      </c>
      <c r="BS18" s="157">
        <v>7</v>
      </c>
      <c r="BT18" s="157">
        <v>8</v>
      </c>
      <c r="BU18" s="157">
        <v>9</v>
      </c>
      <c r="BV18" s="157">
        <v>10</v>
      </c>
      <c r="BW18" s="157">
        <v>11</v>
      </c>
      <c r="BX18" s="157">
        <v>12</v>
      </c>
      <c r="BY18" s="157">
        <v>13</v>
      </c>
      <c r="BZ18" s="157">
        <v>14</v>
      </c>
      <c r="CA18" s="157">
        <v>15</v>
      </c>
      <c r="CB18" s="157">
        <v>16</v>
      </c>
      <c r="CD18" s="240" t="s">
        <v>126</v>
      </c>
      <c r="CE18" s="157" t="s">
        <v>281</v>
      </c>
      <c r="CF18" s="157" t="s">
        <v>282</v>
      </c>
      <c r="CG18" s="157">
        <v>1</v>
      </c>
      <c r="CH18" s="157">
        <v>2</v>
      </c>
      <c r="CI18" s="157">
        <v>3</v>
      </c>
      <c r="CJ18" s="157">
        <v>4</v>
      </c>
      <c r="CK18" s="157">
        <v>5</v>
      </c>
      <c r="CL18" s="157">
        <v>6</v>
      </c>
      <c r="CM18" s="157">
        <v>7</v>
      </c>
      <c r="CN18" s="157">
        <v>8</v>
      </c>
      <c r="CO18" s="157">
        <v>9</v>
      </c>
      <c r="CP18" s="157">
        <v>10</v>
      </c>
      <c r="CQ18" s="157">
        <v>11</v>
      </c>
      <c r="CR18" s="157">
        <v>12</v>
      </c>
      <c r="CS18" s="157">
        <v>13</v>
      </c>
      <c r="CU18" s="240" t="s">
        <v>126</v>
      </c>
      <c r="CV18" s="157" t="s">
        <v>281</v>
      </c>
      <c r="CW18" s="157">
        <v>1</v>
      </c>
      <c r="CX18" s="157">
        <v>2</v>
      </c>
      <c r="CY18" s="157">
        <v>3</v>
      </c>
      <c r="CZ18" s="157">
        <v>4</v>
      </c>
      <c r="DA18" s="157">
        <v>5</v>
      </c>
      <c r="DB18" s="157">
        <v>6</v>
      </c>
      <c r="DC18" s="157">
        <v>7</v>
      </c>
      <c r="DD18" s="157">
        <v>8</v>
      </c>
      <c r="DE18" s="157">
        <v>9</v>
      </c>
      <c r="DF18" s="157">
        <v>10</v>
      </c>
      <c r="DG18" s="157">
        <v>11</v>
      </c>
      <c r="DH18" s="157">
        <v>12</v>
      </c>
      <c r="DI18" s="157">
        <v>13</v>
      </c>
    </row>
    <row r="19" spans="1:113" x14ac:dyDescent="0.2">
      <c r="A19" s="363"/>
      <c r="B19" s="241" t="s">
        <v>283</v>
      </c>
      <c r="C19" s="158">
        <v>22.2</v>
      </c>
      <c r="D19" s="187">
        <v>7.0000000000000001E-3</v>
      </c>
      <c r="E19" s="168">
        <v>1.7999999999999999E-2</v>
      </c>
      <c r="F19" s="191">
        <v>2.5999999999999999E-2</v>
      </c>
      <c r="G19" s="192">
        <v>3.4000000000000002E-2</v>
      </c>
      <c r="H19" s="185">
        <v>3.7999999999999999E-2</v>
      </c>
      <c r="I19" s="184">
        <v>3.9E-2</v>
      </c>
      <c r="J19" s="193">
        <v>3.5999999999999997E-2</v>
      </c>
      <c r="K19" s="167">
        <v>3.3000000000000002E-2</v>
      </c>
      <c r="L19" s="194">
        <v>3.2000000000000001E-2</v>
      </c>
      <c r="M19" s="195">
        <v>3.1E-2</v>
      </c>
      <c r="N19" s="162">
        <v>0.03</v>
      </c>
      <c r="O19" s="175">
        <v>0.03</v>
      </c>
      <c r="P19" s="196">
        <v>2.9000000000000001E-2</v>
      </c>
      <c r="R19" s="241" t="s">
        <v>283</v>
      </c>
      <c r="S19" s="158">
        <v>22.2</v>
      </c>
      <c r="T19" s="187">
        <v>7.0000000000000001E-3</v>
      </c>
      <c r="U19" s="168">
        <v>1.7999999999999999E-2</v>
      </c>
      <c r="V19" s="191">
        <v>2.5999999999999999E-2</v>
      </c>
      <c r="W19" s="192">
        <v>3.4000000000000002E-2</v>
      </c>
      <c r="X19" s="185">
        <v>3.7999999999999999E-2</v>
      </c>
      <c r="Y19" s="184">
        <v>3.9E-2</v>
      </c>
      <c r="Z19" s="193">
        <v>3.5999999999999997E-2</v>
      </c>
      <c r="AA19" s="167">
        <v>3.3000000000000002E-2</v>
      </c>
      <c r="AB19" s="194">
        <v>3.2000000000000001E-2</v>
      </c>
      <c r="AC19" s="195">
        <v>3.1E-2</v>
      </c>
      <c r="AD19" s="162">
        <v>0.03</v>
      </c>
      <c r="AE19" s="175">
        <v>0.03</v>
      </c>
      <c r="AF19" s="196">
        <v>2.9000000000000001E-2</v>
      </c>
      <c r="AH19" s="241" t="s">
        <v>283</v>
      </c>
      <c r="AI19" s="158">
        <v>22.2</v>
      </c>
      <c r="AJ19" s="187">
        <v>7.0000000000000001E-3</v>
      </c>
      <c r="AK19" s="168">
        <v>1.7999999999999999E-2</v>
      </c>
      <c r="AL19" s="191">
        <v>2.5999999999999999E-2</v>
      </c>
      <c r="AM19" s="192">
        <v>3.4000000000000002E-2</v>
      </c>
      <c r="AN19" s="185">
        <v>3.7999999999999999E-2</v>
      </c>
      <c r="AO19" s="184">
        <v>3.9E-2</v>
      </c>
      <c r="AP19" s="193">
        <v>3.5999999999999997E-2</v>
      </c>
      <c r="AQ19" s="167">
        <v>3.3000000000000002E-2</v>
      </c>
      <c r="AR19" s="194">
        <v>3.2000000000000001E-2</v>
      </c>
      <c r="AS19" s="195">
        <v>3.1E-2</v>
      </c>
      <c r="AT19" s="162">
        <v>0.03</v>
      </c>
      <c r="AU19" s="175">
        <v>0.03</v>
      </c>
      <c r="AV19" s="196">
        <v>2.9000000000000001E-2</v>
      </c>
      <c r="AX19" s="241" t="s">
        <v>283</v>
      </c>
      <c r="AY19" s="158">
        <v>22.2</v>
      </c>
      <c r="AZ19" s="187">
        <v>7.0000000000000001E-3</v>
      </c>
      <c r="BA19" s="168">
        <v>1.7999999999999999E-2</v>
      </c>
      <c r="BB19" s="191">
        <v>2.5999999999999999E-2</v>
      </c>
      <c r="BC19" s="192">
        <v>3.4000000000000002E-2</v>
      </c>
      <c r="BD19" s="185">
        <v>3.7999999999999999E-2</v>
      </c>
      <c r="BE19" s="184">
        <v>3.9E-2</v>
      </c>
      <c r="BF19" s="193">
        <v>3.5999999999999997E-2</v>
      </c>
      <c r="BG19" s="167">
        <v>3.3000000000000002E-2</v>
      </c>
      <c r="BH19" s="194">
        <v>3.2000000000000001E-2</v>
      </c>
      <c r="BI19" s="195">
        <v>3.1E-2</v>
      </c>
      <c r="BJ19" s="162">
        <v>0.03</v>
      </c>
      <c r="BK19" s="175">
        <v>0.03</v>
      </c>
      <c r="BL19" s="196">
        <v>2.9000000000000001E-2</v>
      </c>
      <c r="BN19" s="241" t="s">
        <v>283</v>
      </c>
      <c r="BO19" s="158">
        <v>22.2</v>
      </c>
      <c r="BP19" s="187">
        <v>7.0000000000000001E-3</v>
      </c>
      <c r="BQ19" s="168">
        <v>1.7999999999999999E-2</v>
      </c>
      <c r="BR19" s="191">
        <v>2.5999999999999999E-2</v>
      </c>
      <c r="BS19" s="192">
        <v>3.4000000000000002E-2</v>
      </c>
      <c r="BT19" s="185">
        <v>3.7999999999999999E-2</v>
      </c>
      <c r="BU19" s="184">
        <v>3.9E-2</v>
      </c>
      <c r="BV19" s="193">
        <v>3.5999999999999997E-2</v>
      </c>
      <c r="BW19" s="167">
        <v>3.3000000000000002E-2</v>
      </c>
      <c r="BX19" s="194">
        <v>3.2000000000000001E-2</v>
      </c>
      <c r="BY19" s="195">
        <v>3.1E-2</v>
      </c>
      <c r="BZ19" s="162">
        <v>0.03</v>
      </c>
      <c r="CA19" s="175">
        <v>0.03</v>
      </c>
      <c r="CB19" s="196">
        <v>2.9000000000000001E-2</v>
      </c>
      <c r="CD19" s="241" t="s">
        <v>283</v>
      </c>
      <c r="CE19" s="158">
        <v>22.2</v>
      </c>
      <c r="CF19" s="158"/>
      <c r="CG19" s="187">
        <v>7.0000000000000001E-3</v>
      </c>
      <c r="CH19" s="168">
        <v>1.7999999999999999E-2</v>
      </c>
      <c r="CI19" s="191">
        <v>2.5999999999999999E-2</v>
      </c>
      <c r="CJ19" s="192">
        <v>3.4000000000000002E-2</v>
      </c>
      <c r="CK19" s="185">
        <v>3.7999999999999999E-2</v>
      </c>
      <c r="CL19" s="184">
        <v>3.9E-2</v>
      </c>
      <c r="CM19" s="193">
        <v>3.5999999999999997E-2</v>
      </c>
      <c r="CN19" s="167">
        <v>3.3000000000000002E-2</v>
      </c>
      <c r="CO19" s="194">
        <v>3.2000000000000001E-2</v>
      </c>
      <c r="CP19" s="195">
        <v>3.1E-2</v>
      </c>
      <c r="CQ19" s="162">
        <v>0.03</v>
      </c>
      <c r="CR19" s="175">
        <v>0.03</v>
      </c>
      <c r="CS19" s="196">
        <v>2.9000000000000001E-2</v>
      </c>
      <c r="CU19" s="241" t="s">
        <v>283</v>
      </c>
      <c r="CV19" s="158">
        <v>22.2</v>
      </c>
      <c r="CW19" s="187">
        <v>7.0000000000000001E-3</v>
      </c>
      <c r="CX19" s="168">
        <v>1.7999999999999999E-2</v>
      </c>
      <c r="CY19" s="191">
        <v>2.5999999999999999E-2</v>
      </c>
      <c r="CZ19" s="192">
        <v>3.4000000000000002E-2</v>
      </c>
      <c r="DA19" s="185">
        <v>3.7999999999999999E-2</v>
      </c>
      <c r="DB19" s="184">
        <v>3.9E-2</v>
      </c>
      <c r="DC19" s="193">
        <v>3.5999999999999997E-2</v>
      </c>
      <c r="DD19" s="167">
        <v>3.3000000000000002E-2</v>
      </c>
      <c r="DE19" s="194">
        <v>3.2000000000000001E-2</v>
      </c>
      <c r="DF19" s="195">
        <v>3.1E-2</v>
      </c>
      <c r="DG19" s="162">
        <v>0.03</v>
      </c>
      <c r="DH19" s="175">
        <v>0.03</v>
      </c>
      <c r="DI19" s="196">
        <v>2.9000000000000001E-2</v>
      </c>
    </row>
    <row r="20" spans="1:113" x14ac:dyDescent="0.2">
      <c r="A20" s="363"/>
      <c r="B20" s="241" t="s">
        <v>284</v>
      </c>
      <c r="C20" s="158">
        <v>21.8</v>
      </c>
      <c r="D20" s="197">
        <v>6.0000000000000001E-3</v>
      </c>
      <c r="E20" s="198">
        <v>0.02</v>
      </c>
      <c r="F20" s="199">
        <v>2.9000000000000001E-2</v>
      </c>
      <c r="G20" s="200">
        <v>3.4000000000000002E-2</v>
      </c>
      <c r="H20" s="201">
        <v>3.7999999999999999E-2</v>
      </c>
      <c r="I20" s="202">
        <v>3.7999999999999999E-2</v>
      </c>
      <c r="J20" s="166">
        <v>3.5000000000000003E-2</v>
      </c>
      <c r="K20" s="186">
        <v>3.3000000000000002E-2</v>
      </c>
      <c r="L20" s="159">
        <v>3.1E-2</v>
      </c>
      <c r="M20" s="203">
        <v>3.1E-2</v>
      </c>
      <c r="N20" s="204">
        <v>0.03</v>
      </c>
      <c r="O20" s="205">
        <v>2.9000000000000001E-2</v>
      </c>
      <c r="P20" s="158"/>
      <c r="R20" s="241" t="s">
        <v>284</v>
      </c>
      <c r="S20" s="158">
        <v>21.8</v>
      </c>
      <c r="T20" s="197">
        <v>6.0000000000000001E-3</v>
      </c>
      <c r="U20" s="198">
        <v>0.02</v>
      </c>
      <c r="V20" s="199">
        <v>2.9000000000000001E-2</v>
      </c>
      <c r="W20" s="200">
        <v>3.4000000000000002E-2</v>
      </c>
      <c r="X20" s="201">
        <v>3.7999999999999999E-2</v>
      </c>
      <c r="Y20" s="202">
        <v>3.7999999999999999E-2</v>
      </c>
      <c r="Z20" s="166">
        <v>3.5000000000000003E-2</v>
      </c>
      <c r="AA20" s="186">
        <v>3.3000000000000002E-2</v>
      </c>
      <c r="AB20" s="159">
        <v>3.1E-2</v>
      </c>
      <c r="AC20" s="203">
        <v>3.1E-2</v>
      </c>
      <c r="AD20" s="204">
        <v>0.03</v>
      </c>
      <c r="AE20" s="205">
        <v>2.9000000000000001E-2</v>
      </c>
      <c r="AF20" s="158"/>
      <c r="AH20" s="241" t="s">
        <v>284</v>
      </c>
      <c r="AI20" s="158">
        <v>21.8</v>
      </c>
      <c r="AJ20" s="197">
        <v>6.0000000000000001E-3</v>
      </c>
      <c r="AK20" s="198">
        <v>0.02</v>
      </c>
      <c r="AL20" s="199">
        <v>2.9000000000000001E-2</v>
      </c>
      <c r="AM20" s="200">
        <v>3.4000000000000002E-2</v>
      </c>
      <c r="AN20" s="201">
        <v>3.7999999999999999E-2</v>
      </c>
      <c r="AO20" s="202">
        <v>3.7999999999999999E-2</v>
      </c>
      <c r="AP20" s="166">
        <v>3.5000000000000003E-2</v>
      </c>
      <c r="AQ20" s="186">
        <v>3.3000000000000002E-2</v>
      </c>
      <c r="AR20" s="159">
        <v>3.1E-2</v>
      </c>
      <c r="AS20" s="203">
        <v>3.1E-2</v>
      </c>
      <c r="AT20" s="204">
        <v>0.03</v>
      </c>
      <c r="AU20" s="205">
        <v>2.9000000000000001E-2</v>
      </c>
      <c r="AV20" s="158"/>
      <c r="AX20" s="241" t="s">
        <v>284</v>
      </c>
      <c r="AY20" s="158">
        <v>21.8</v>
      </c>
      <c r="AZ20" s="197">
        <v>6.0000000000000001E-3</v>
      </c>
      <c r="BA20" s="198">
        <v>0.02</v>
      </c>
      <c r="BB20" s="199">
        <v>2.9000000000000001E-2</v>
      </c>
      <c r="BC20" s="200">
        <v>3.4000000000000002E-2</v>
      </c>
      <c r="BD20" s="201">
        <v>3.7999999999999999E-2</v>
      </c>
      <c r="BE20" s="202">
        <v>3.7999999999999999E-2</v>
      </c>
      <c r="BF20" s="166">
        <v>3.5000000000000003E-2</v>
      </c>
      <c r="BG20" s="186">
        <v>3.3000000000000002E-2</v>
      </c>
      <c r="BH20" s="159">
        <v>3.1E-2</v>
      </c>
      <c r="BI20" s="203">
        <v>3.1E-2</v>
      </c>
      <c r="BJ20" s="204">
        <v>0.03</v>
      </c>
      <c r="BK20" s="205">
        <v>2.9000000000000001E-2</v>
      </c>
      <c r="BL20" s="158"/>
      <c r="BN20" s="241" t="s">
        <v>284</v>
      </c>
      <c r="BO20" s="158">
        <v>21.8</v>
      </c>
      <c r="BP20" s="197">
        <v>6.0000000000000001E-3</v>
      </c>
      <c r="BQ20" s="198">
        <v>0.02</v>
      </c>
      <c r="BR20" s="199">
        <v>2.9000000000000001E-2</v>
      </c>
      <c r="BS20" s="200">
        <v>3.4000000000000002E-2</v>
      </c>
      <c r="BT20" s="201">
        <v>3.7999999999999999E-2</v>
      </c>
      <c r="BU20" s="202">
        <v>3.7999999999999999E-2</v>
      </c>
      <c r="BV20" s="166">
        <v>3.5000000000000003E-2</v>
      </c>
      <c r="BW20" s="186">
        <v>3.3000000000000002E-2</v>
      </c>
      <c r="BX20" s="159">
        <v>3.1E-2</v>
      </c>
      <c r="BY20" s="203">
        <v>3.1E-2</v>
      </c>
      <c r="BZ20" s="204">
        <v>0.03</v>
      </c>
      <c r="CA20" s="205">
        <v>2.9000000000000001E-2</v>
      </c>
      <c r="CB20" s="158"/>
      <c r="CD20" s="241" t="s">
        <v>284</v>
      </c>
      <c r="CE20" s="158">
        <v>21.8</v>
      </c>
      <c r="CF20" s="158"/>
      <c r="CG20" s="197">
        <v>6.0000000000000001E-3</v>
      </c>
      <c r="CH20" s="198">
        <v>0.02</v>
      </c>
      <c r="CI20" s="199">
        <v>2.9000000000000001E-2</v>
      </c>
      <c r="CJ20" s="200">
        <v>3.4000000000000002E-2</v>
      </c>
      <c r="CK20" s="201">
        <v>3.7999999999999999E-2</v>
      </c>
      <c r="CL20" s="202">
        <v>3.7999999999999999E-2</v>
      </c>
      <c r="CM20" s="166">
        <v>3.5000000000000003E-2</v>
      </c>
      <c r="CN20" s="186">
        <v>3.3000000000000002E-2</v>
      </c>
      <c r="CO20" s="159">
        <v>3.1E-2</v>
      </c>
      <c r="CP20" s="203">
        <v>3.1E-2</v>
      </c>
      <c r="CQ20" s="204">
        <v>0.03</v>
      </c>
      <c r="CR20" s="205">
        <v>2.9000000000000001E-2</v>
      </c>
      <c r="CS20" s="158"/>
      <c r="CU20" s="241" t="s">
        <v>284</v>
      </c>
      <c r="CV20" s="158">
        <v>21.8</v>
      </c>
      <c r="CW20" s="197">
        <v>6.0000000000000001E-3</v>
      </c>
      <c r="CX20" s="198">
        <v>0.02</v>
      </c>
      <c r="CY20" s="199">
        <v>2.9000000000000001E-2</v>
      </c>
      <c r="CZ20" s="200">
        <v>3.4000000000000002E-2</v>
      </c>
      <c r="DA20" s="201">
        <v>3.7999999999999999E-2</v>
      </c>
      <c r="DB20" s="202">
        <v>3.7999999999999999E-2</v>
      </c>
      <c r="DC20" s="166">
        <v>3.5000000000000003E-2</v>
      </c>
      <c r="DD20" s="186">
        <v>3.3000000000000002E-2</v>
      </c>
      <c r="DE20" s="159">
        <v>3.1E-2</v>
      </c>
      <c r="DF20" s="203">
        <v>3.1E-2</v>
      </c>
      <c r="DG20" s="204">
        <v>0.03</v>
      </c>
      <c r="DH20" s="205">
        <v>2.9000000000000001E-2</v>
      </c>
      <c r="DI20" s="158"/>
    </row>
    <row r="21" spans="1:113" x14ac:dyDescent="0.2">
      <c r="A21" s="363"/>
      <c r="B21" s="241" t="s">
        <v>285</v>
      </c>
      <c r="C21" s="158">
        <v>27</v>
      </c>
      <c r="D21" s="206">
        <v>6.0000000000000001E-3</v>
      </c>
      <c r="E21" s="179">
        <v>2.1000000000000001E-2</v>
      </c>
      <c r="F21" s="163">
        <v>2.9000000000000001E-2</v>
      </c>
      <c r="G21" s="166">
        <v>3.5000000000000003E-2</v>
      </c>
      <c r="H21" s="207">
        <v>4.1000000000000002E-2</v>
      </c>
      <c r="I21" s="181">
        <v>4.2000000000000003E-2</v>
      </c>
      <c r="J21" s="170">
        <v>0.04</v>
      </c>
      <c r="K21" s="208">
        <v>3.6999999999999998E-2</v>
      </c>
      <c r="L21" s="161">
        <v>3.5999999999999997E-2</v>
      </c>
      <c r="M21" s="165">
        <v>3.4000000000000002E-2</v>
      </c>
      <c r="N21" s="167">
        <v>3.3000000000000002E-2</v>
      </c>
      <c r="O21" s="158"/>
      <c r="P21" s="158"/>
      <c r="R21" s="241" t="s">
        <v>285</v>
      </c>
      <c r="S21" s="158">
        <v>27</v>
      </c>
      <c r="T21" s="206">
        <v>6.0000000000000001E-3</v>
      </c>
      <c r="U21" s="179">
        <v>2.1000000000000001E-2</v>
      </c>
      <c r="V21" s="163">
        <v>2.9000000000000001E-2</v>
      </c>
      <c r="W21" s="166">
        <v>3.5000000000000003E-2</v>
      </c>
      <c r="X21" s="207">
        <v>4.1000000000000002E-2</v>
      </c>
      <c r="Y21" s="181">
        <v>4.2000000000000003E-2</v>
      </c>
      <c r="Z21" s="170">
        <v>0.04</v>
      </c>
      <c r="AA21" s="208">
        <v>3.6999999999999998E-2</v>
      </c>
      <c r="AB21" s="161">
        <v>3.5999999999999997E-2</v>
      </c>
      <c r="AC21" s="165">
        <v>3.4000000000000002E-2</v>
      </c>
      <c r="AD21" s="167">
        <v>3.3000000000000002E-2</v>
      </c>
      <c r="AE21" s="158"/>
      <c r="AF21" s="158"/>
      <c r="AH21" s="241" t="s">
        <v>285</v>
      </c>
      <c r="AI21" s="158">
        <v>27</v>
      </c>
      <c r="AJ21" s="206">
        <v>6.0000000000000001E-3</v>
      </c>
      <c r="AK21" s="179">
        <v>2.1000000000000001E-2</v>
      </c>
      <c r="AL21" s="163">
        <v>2.9000000000000001E-2</v>
      </c>
      <c r="AM21" s="166">
        <v>3.5000000000000003E-2</v>
      </c>
      <c r="AN21" s="207">
        <v>4.1000000000000002E-2</v>
      </c>
      <c r="AO21" s="181">
        <v>4.2000000000000003E-2</v>
      </c>
      <c r="AP21" s="170">
        <v>0.04</v>
      </c>
      <c r="AQ21" s="208">
        <v>3.6999999999999998E-2</v>
      </c>
      <c r="AR21" s="161">
        <v>3.5999999999999997E-2</v>
      </c>
      <c r="AS21" s="165">
        <v>3.4000000000000002E-2</v>
      </c>
      <c r="AT21" s="167">
        <v>3.3000000000000002E-2</v>
      </c>
      <c r="AU21" s="158"/>
      <c r="AV21" s="158"/>
      <c r="AX21" s="241" t="s">
        <v>285</v>
      </c>
      <c r="AY21" s="158">
        <v>27</v>
      </c>
      <c r="AZ21" s="206">
        <v>6.0000000000000001E-3</v>
      </c>
      <c r="BA21" s="179">
        <v>2.1000000000000001E-2</v>
      </c>
      <c r="BB21" s="163">
        <v>2.9000000000000001E-2</v>
      </c>
      <c r="BC21" s="166">
        <v>3.5000000000000003E-2</v>
      </c>
      <c r="BD21" s="207">
        <v>4.1000000000000002E-2</v>
      </c>
      <c r="BE21" s="181">
        <v>4.2000000000000003E-2</v>
      </c>
      <c r="BF21" s="170">
        <v>0.04</v>
      </c>
      <c r="BG21" s="208">
        <v>3.6999999999999998E-2</v>
      </c>
      <c r="BH21" s="161">
        <v>3.5999999999999997E-2</v>
      </c>
      <c r="BI21" s="165">
        <v>3.4000000000000002E-2</v>
      </c>
      <c r="BJ21" s="167">
        <v>3.3000000000000002E-2</v>
      </c>
      <c r="BK21" s="158"/>
      <c r="BL21" s="158"/>
      <c r="BN21" s="241" t="s">
        <v>285</v>
      </c>
      <c r="BO21" s="158">
        <v>27</v>
      </c>
      <c r="BP21" s="206">
        <v>6.0000000000000001E-3</v>
      </c>
      <c r="BQ21" s="179">
        <v>2.1000000000000001E-2</v>
      </c>
      <c r="BR21" s="163">
        <v>2.9000000000000001E-2</v>
      </c>
      <c r="BS21" s="166">
        <v>3.5000000000000003E-2</v>
      </c>
      <c r="BT21" s="207">
        <v>4.1000000000000002E-2</v>
      </c>
      <c r="BU21" s="181">
        <v>4.2000000000000003E-2</v>
      </c>
      <c r="BV21" s="170">
        <v>0.04</v>
      </c>
      <c r="BW21" s="208">
        <v>3.6999999999999998E-2</v>
      </c>
      <c r="BX21" s="161">
        <v>3.5999999999999997E-2</v>
      </c>
      <c r="BY21" s="165">
        <v>3.4000000000000002E-2</v>
      </c>
      <c r="BZ21" s="167">
        <v>3.3000000000000002E-2</v>
      </c>
      <c r="CA21" s="158"/>
      <c r="CB21" s="158"/>
      <c r="CD21" s="241" t="s">
        <v>285</v>
      </c>
      <c r="CE21" s="158">
        <v>27</v>
      </c>
      <c r="CF21" s="158"/>
      <c r="CG21" s="206">
        <v>6.0000000000000001E-3</v>
      </c>
      <c r="CH21" s="179">
        <v>2.1000000000000001E-2</v>
      </c>
      <c r="CI21" s="163">
        <v>2.9000000000000001E-2</v>
      </c>
      <c r="CJ21" s="166">
        <v>3.5000000000000003E-2</v>
      </c>
      <c r="CK21" s="207">
        <v>4.1000000000000002E-2</v>
      </c>
      <c r="CL21" s="181">
        <v>4.2000000000000003E-2</v>
      </c>
      <c r="CM21" s="170">
        <v>0.04</v>
      </c>
      <c r="CN21" s="208">
        <v>3.6999999999999998E-2</v>
      </c>
      <c r="CO21" s="161">
        <v>3.5999999999999997E-2</v>
      </c>
      <c r="CP21" s="165">
        <v>3.4000000000000002E-2</v>
      </c>
      <c r="CQ21" s="167">
        <v>3.3000000000000002E-2</v>
      </c>
      <c r="CR21" s="158"/>
      <c r="CS21" s="158"/>
      <c r="CU21" s="241" t="s">
        <v>285</v>
      </c>
      <c r="CV21" s="158">
        <v>27</v>
      </c>
      <c r="CW21" s="206">
        <v>6.0000000000000001E-3</v>
      </c>
      <c r="CX21" s="179">
        <v>2.1000000000000001E-2</v>
      </c>
      <c r="CY21" s="163">
        <v>2.9000000000000001E-2</v>
      </c>
      <c r="CZ21" s="166">
        <v>3.5000000000000003E-2</v>
      </c>
      <c r="DA21" s="207">
        <v>4.1000000000000002E-2</v>
      </c>
      <c r="DB21" s="181">
        <v>4.2000000000000003E-2</v>
      </c>
      <c r="DC21" s="170">
        <v>0.04</v>
      </c>
      <c r="DD21" s="208">
        <v>3.6999999999999998E-2</v>
      </c>
      <c r="DE21" s="161">
        <v>3.5999999999999997E-2</v>
      </c>
      <c r="DF21" s="165">
        <v>3.4000000000000002E-2</v>
      </c>
      <c r="DG21" s="167">
        <v>3.3000000000000002E-2</v>
      </c>
      <c r="DH21" s="158"/>
      <c r="DI21" s="158"/>
    </row>
    <row r="22" spans="1:113" x14ac:dyDescent="0.2">
      <c r="A22" s="363"/>
      <c r="B22" s="241" t="s">
        <v>286</v>
      </c>
      <c r="C22" s="169">
        <v>27.5</v>
      </c>
      <c r="D22" s="177">
        <v>6.0000000000000001E-3</v>
      </c>
      <c r="E22" s="198">
        <v>0.02</v>
      </c>
      <c r="F22" s="209">
        <v>3.2000000000000001E-2</v>
      </c>
      <c r="G22" s="182">
        <v>0.04</v>
      </c>
      <c r="H22" s="172">
        <v>4.2999999999999997E-2</v>
      </c>
      <c r="I22" s="210">
        <v>4.2999999999999997E-2</v>
      </c>
      <c r="J22" s="211">
        <v>4.1000000000000002E-2</v>
      </c>
      <c r="K22" s="201">
        <v>3.7999999999999999E-2</v>
      </c>
      <c r="L22" s="174">
        <v>3.6999999999999998E-2</v>
      </c>
      <c r="M22" s="166">
        <v>3.5000000000000003E-2</v>
      </c>
      <c r="N22" s="158"/>
      <c r="O22" s="158"/>
      <c r="P22" s="158"/>
      <c r="R22" s="241" t="s">
        <v>286</v>
      </c>
      <c r="S22" s="169">
        <v>27.5</v>
      </c>
      <c r="T22" s="177">
        <v>6.0000000000000001E-3</v>
      </c>
      <c r="U22" s="198">
        <v>0.02</v>
      </c>
      <c r="V22" s="209">
        <v>3.2000000000000001E-2</v>
      </c>
      <c r="W22" s="182">
        <v>0.04</v>
      </c>
      <c r="X22" s="172">
        <v>4.2999999999999997E-2</v>
      </c>
      <c r="Y22" s="210">
        <v>4.2999999999999997E-2</v>
      </c>
      <c r="Z22" s="211">
        <v>4.1000000000000002E-2</v>
      </c>
      <c r="AA22" s="201">
        <v>3.7999999999999999E-2</v>
      </c>
      <c r="AB22" s="174">
        <v>3.6999999999999998E-2</v>
      </c>
      <c r="AC22" s="166">
        <v>3.5000000000000003E-2</v>
      </c>
      <c r="AD22" s="158"/>
      <c r="AE22" s="158"/>
      <c r="AF22" s="158"/>
      <c r="AH22" s="241" t="s">
        <v>286</v>
      </c>
      <c r="AI22" s="169">
        <v>27.5</v>
      </c>
      <c r="AJ22" s="177">
        <v>6.0000000000000001E-3</v>
      </c>
      <c r="AK22" s="198">
        <v>0.02</v>
      </c>
      <c r="AL22" s="209">
        <v>3.2000000000000001E-2</v>
      </c>
      <c r="AM22" s="182">
        <v>0.04</v>
      </c>
      <c r="AN22" s="172">
        <v>4.2999999999999997E-2</v>
      </c>
      <c r="AO22" s="210">
        <v>4.2999999999999997E-2</v>
      </c>
      <c r="AP22" s="211">
        <v>4.1000000000000002E-2</v>
      </c>
      <c r="AQ22" s="201">
        <v>3.7999999999999999E-2</v>
      </c>
      <c r="AR22" s="174">
        <v>3.6999999999999998E-2</v>
      </c>
      <c r="AS22" s="166">
        <v>3.5000000000000003E-2</v>
      </c>
      <c r="AT22" s="158"/>
      <c r="AU22" s="158"/>
      <c r="AV22" s="158"/>
      <c r="AX22" s="241" t="s">
        <v>286</v>
      </c>
      <c r="AY22" s="169">
        <v>27.5</v>
      </c>
      <c r="AZ22" s="177">
        <v>6.0000000000000001E-3</v>
      </c>
      <c r="BA22" s="198">
        <v>0.02</v>
      </c>
      <c r="BB22" s="209">
        <v>3.2000000000000001E-2</v>
      </c>
      <c r="BC22" s="182">
        <v>0.04</v>
      </c>
      <c r="BD22" s="172">
        <v>4.2999999999999997E-2</v>
      </c>
      <c r="BE22" s="210">
        <v>4.2999999999999997E-2</v>
      </c>
      <c r="BF22" s="211">
        <v>4.1000000000000002E-2</v>
      </c>
      <c r="BG22" s="201">
        <v>3.7999999999999999E-2</v>
      </c>
      <c r="BH22" s="174">
        <v>3.6999999999999998E-2</v>
      </c>
      <c r="BI22" s="166">
        <v>3.5000000000000003E-2</v>
      </c>
      <c r="BJ22" s="158"/>
      <c r="BK22" s="158"/>
      <c r="BL22" s="158"/>
      <c r="BN22" s="241" t="s">
        <v>286</v>
      </c>
      <c r="BO22" s="169">
        <v>27.5</v>
      </c>
      <c r="BP22" s="177">
        <v>6.0000000000000001E-3</v>
      </c>
      <c r="BQ22" s="198">
        <v>0.02</v>
      </c>
      <c r="BR22" s="209">
        <v>3.2000000000000001E-2</v>
      </c>
      <c r="BS22" s="182">
        <v>0.04</v>
      </c>
      <c r="BT22" s="172">
        <v>4.2999999999999997E-2</v>
      </c>
      <c r="BU22" s="210">
        <v>4.2999999999999997E-2</v>
      </c>
      <c r="BV22" s="211">
        <v>4.1000000000000002E-2</v>
      </c>
      <c r="BW22" s="201">
        <v>3.7999999999999999E-2</v>
      </c>
      <c r="BX22" s="174">
        <v>3.6999999999999998E-2</v>
      </c>
      <c r="BY22" s="166">
        <v>3.5000000000000003E-2</v>
      </c>
      <c r="BZ22" s="158"/>
      <c r="CA22" s="158"/>
      <c r="CB22" s="158"/>
      <c r="CD22" s="241" t="s">
        <v>286</v>
      </c>
      <c r="CE22" s="169">
        <v>27.5</v>
      </c>
      <c r="CF22" s="169"/>
      <c r="CG22" s="177">
        <v>6.0000000000000001E-3</v>
      </c>
      <c r="CH22" s="198">
        <v>0.02</v>
      </c>
      <c r="CI22" s="209">
        <v>3.2000000000000001E-2</v>
      </c>
      <c r="CJ22" s="182">
        <v>0.04</v>
      </c>
      <c r="CK22" s="172">
        <v>4.2999999999999997E-2</v>
      </c>
      <c r="CL22" s="210">
        <v>4.2999999999999997E-2</v>
      </c>
      <c r="CM22" s="211">
        <v>4.1000000000000002E-2</v>
      </c>
      <c r="CN22" s="201">
        <v>3.7999999999999999E-2</v>
      </c>
      <c r="CO22" s="174">
        <v>3.6999999999999998E-2</v>
      </c>
      <c r="CP22" s="166">
        <v>3.5000000000000003E-2</v>
      </c>
      <c r="CQ22" s="158"/>
      <c r="CR22" s="158"/>
      <c r="CS22" s="158"/>
      <c r="CU22" s="241" t="s">
        <v>286</v>
      </c>
      <c r="CV22" s="169">
        <v>27.5</v>
      </c>
      <c r="CW22" s="177">
        <v>6.0000000000000001E-3</v>
      </c>
      <c r="CX22" s="198">
        <v>0.02</v>
      </c>
      <c r="CY22" s="209">
        <v>3.2000000000000001E-2</v>
      </c>
      <c r="CZ22" s="182">
        <v>0.04</v>
      </c>
      <c r="DA22" s="172">
        <v>4.2999999999999997E-2</v>
      </c>
      <c r="DB22" s="210">
        <v>4.2999999999999997E-2</v>
      </c>
      <c r="DC22" s="211">
        <v>4.1000000000000002E-2</v>
      </c>
      <c r="DD22" s="201">
        <v>3.7999999999999999E-2</v>
      </c>
      <c r="DE22" s="174">
        <v>3.6999999999999998E-2</v>
      </c>
      <c r="DF22" s="166">
        <v>3.5000000000000003E-2</v>
      </c>
      <c r="DG22" s="158"/>
      <c r="DH22" s="158"/>
      <c r="DI22" s="158"/>
    </row>
    <row r="23" spans="1:113" x14ac:dyDescent="0.2">
      <c r="A23" s="363"/>
      <c r="B23" s="241" t="s">
        <v>287</v>
      </c>
      <c r="C23" s="169">
        <v>31.8</v>
      </c>
      <c r="D23" s="188">
        <v>7.0000000000000001E-3</v>
      </c>
      <c r="E23" s="212">
        <v>2.3E-2</v>
      </c>
      <c r="F23" s="190">
        <v>3.3000000000000002E-2</v>
      </c>
      <c r="G23" s="184">
        <v>3.9E-2</v>
      </c>
      <c r="H23" s="213">
        <v>4.3999999999999997E-2</v>
      </c>
      <c r="I23" s="210">
        <v>4.2999999999999997E-2</v>
      </c>
      <c r="J23" s="214">
        <v>4.2000000000000003E-2</v>
      </c>
      <c r="K23" s="173">
        <v>3.9E-2</v>
      </c>
      <c r="L23" s="174">
        <v>3.6999999999999998E-2</v>
      </c>
      <c r="M23" s="158"/>
      <c r="N23" s="158"/>
      <c r="O23" s="158"/>
      <c r="P23" s="158"/>
      <c r="R23" s="241" t="s">
        <v>287</v>
      </c>
      <c r="S23" s="169">
        <v>31.8</v>
      </c>
      <c r="T23" s="188">
        <v>7.0000000000000001E-3</v>
      </c>
      <c r="U23" s="212">
        <v>2.3E-2</v>
      </c>
      <c r="V23" s="190">
        <v>3.3000000000000002E-2</v>
      </c>
      <c r="W23" s="184">
        <v>3.9E-2</v>
      </c>
      <c r="X23" s="213">
        <v>4.3999999999999997E-2</v>
      </c>
      <c r="Y23" s="210">
        <v>4.2999999999999997E-2</v>
      </c>
      <c r="Z23" s="214">
        <v>4.2000000000000003E-2</v>
      </c>
      <c r="AA23" s="173">
        <v>3.9E-2</v>
      </c>
      <c r="AB23" s="174">
        <v>3.6999999999999998E-2</v>
      </c>
      <c r="AC23" s="158"/>
      <c r="AD23" s="158"/>
      <c r="AE23" s="158"/>
      <c r="AF23" s="158"/>
      <c r="AH23" s="241" t="s">
        <v>287</v>
      </c>
      <c r="AI23" s="169">
        <v>31.8</v>
      </c>
      <c r="AJ23" s="188">
        <v>7.0000000000000001E-3</v>
      </c>
      <c r="AK23" s="212">
        <v>2.3E-2</v>
      </c>
      <c r="AL23" s="190">
        <v>3.3000000000000002E-2</v>
      </c>
      <c r="AM23" s="184">
        <v>3.9E-2</v>
      </c>
      <c r="AN23" s="213">
        <v>4.3999999999999997E-2</v>
      </c>
      <c r="AO23" s="210">
        <v>4.2999999999999997E-2</v>
      </c>
      <c r="AP23" s="214">
        <v>4.2000000000000003E-2</v>
      </c>
      <c r="AQ23" s="173">
        <v>3.9E-2</v>
      </c>
      <c r="AR23" s="174">
        <v>3.6999999999999998E-2</v>
      </c>
      <c r="AS23" s="158"/>
      <c r="AT23" s="158"/>
      <c r="AU23" s="158"/>
      <c r="AV23" s="158"/>
      <c r="AX23" s="241" t="s">
        <v>287</v>
      </c>
      <c r="AY23" s="169">
        <v>31.8</v>
      </c>
      <c r="AZ23" s="188">
        <v>7.0000000000000001E-3</v>
      </c>
      <c r="BA23" s="212">
        <v>2.3E-2</v>
      </c>
      <c r="BB23" s="190">
        <v>3.3000000000000002E-2</v>
      </c>
      <c r="BC23" s="184">
        <v>3.9E-2</v>
      </c>
      <c r="BD23" s="213">
        <v>4.3999999999999997E-2</v>
      </c>
      <c r="BE23" s="210">
        <v>4.2999999999999997E-2</v>
      </c>
      <c r="BF23" s="214">
        <v>4.2000000000000003E-2</v>
      </c>
      <c r="BG23" s="173">
        <v>3.9E-2</v>
      </c>
      <c r="BH23" s="174">
        <v>3.6999999999999998E-2</v>
      </c>
      <c r="BI23" s="158"/>
      <c r="BJ23" s="158"/>
      <c r="BK23" s="158"/>
      <c r="BL23" s="158"/>
      <c r="BN23" s="241" t="s">
        <v>287</v>
      </c>
      <c r="BO23" s="169">
        <v>31.8</v>
      </c>
      <c r="BP23" s="188">
        <v>7.0000000000000001E-3</v>
      </c>
      <c r="BQ23" s="212">
        <v>2.3E-2</v>
      </c>
      <c r="BR23" s="190">
        <v>3.3000000000000002E-2</v>
      </c>
      <c r="BS23" s="184">
        <v>3.9E-2</v>
      </c>
      <c r="BT23" s="213">
        <v>4.3999999999999997E-2</v>
      </c>
      <c r="BU23" s="210">
        <v>4.2999999999999997E-2</v>
      </c>
      <c r="BV23" s="214">
        <v>4.2000000000000003E-2</v>
      </c>
      <c r="BW23" s="173">
        <v>3.9E-2</v>
      </c>
      <c r="BX23" s="174">
        <v>3.6999999999999998E-2</v>
      </c>
      <c r="BY23" s="158"/>
      <c r="BZ23" s="158"/>
      <c r="CA23" s="158"/>
      <c r="CB23" s="158"/>
      <c r="CD23" s="241" t="s">
        <v>287</v>
      </c>
      <c r="CE23" s="169">
        <v>31.8</v>
      </c>
      <c r="CF23" s="169"/>
      <c r="CG23" s="188">
        <v>7.0000000000000001E-3</v>
      </c>
      <c r="CH23" s="212">
        <v>2.3E-2</v>
      </c>
      <c r="CI23" s="190">
        <v>3.3000000000000002E-2</v>
      </c>
      <c r="CJ23" s="184">
        <v>3.9E-2</v>
      </c>
      <c r="CK23" s="213">
        <v>4.3999999999999997E-2</v>
      </c>
      <c r="CL23" s="210">
        <v>4.2999999999999997E-2</v>
      </c>
      <c r="CM23" s="214">
        <v>4.2000000000000003E-2</v>
      </c>
      <c r="CN23" s="173">
        <v>3.9E-2</v>
      </c>
      <c r="CO23" s="174">
        <v>3.6999999999999998E-2</v>
      </c>
      <c r="CP23" s="158"/>
      <c r="CQ23" s="158"/>
      <c r="CR23" s="158"/>
      <c r="CS23" s="158"/>
      <c r="CU23" s="241" t="s">
        <v>287</v>
      </c>
      <c r="CV23" s="169">
        <v>31.8</v>
      </c>
      <c r="CW23" s="188">
        <v>7.0000000000000001E-3</v>
      </c>
      <c r="CX23" s="212">
        <v>2.3E-2</v>
      </c>
      <c r="CY23" s="190">
        <v>3.3000000000000002E-2</v>
      </c>
      <c r="CZ23" s="184">
        <v>3.9E-2</v>
      </c>
      <c r="DA23" s="213">
        <v>4.3999999999999997E-2</v>
      </c>
      <c r="DB23" s="210">
        <v>4.2999999999999997E-2</v>
      </c>
      <c r="DC23" s="214">
        <v>4.2000000000000003E-2</v>
      </c>
      <c r="DD23" s="173">
        <v>3.9E-2</v>
      </c>
      <c r="DE23" s="174">
        <v>3.6999999999999998E-2</v>
      </c>
      <c r="DF23" s="158"/>
      <c r="DG23" s="158"/>
      <c r="DH23" s="158"/>
      <c r="DI23" s="158"/>
    </row>
    <row r="24" spans="1:113" x14ac:dyDescent="0.2">
      <c r="A24" s="363"/>
      <c r="B24" s="241" t="s">
        <v>288</v>
      </c>
      <c r="C24" s="169">
        <v>32.799999999999997</v>
      </c>
      <c r="D24" s="215">
        <v>8.9999999999999993E-3</v>
      </c>
      <c r="E24" s="216">
        <v>2.7E-2</v>
      </c>
      <c r="F24" s="193">
        <v>3.5999999999999997E-2</v>
      </c>
      <c r="G24" s="213">
        <v>4.3999999999999997E-2</v>
      </c>
      <c r="H24" s="217">
        <v>4.8000000000000001E-2</v>
      </c>
      <c r="I24" s="218">
        <v>4.9000000000000002E-2</v>
      </c>
      <c r="J24" s="171">
        <v>4.7E-2</v>
      </c>
      <c r="K24" s="213">
        <v>4.3999999999999997E-2</v>
      </c>
      <c r="L24" s="158"/>
      <c r="M24" s="158"/>
      <c r="N24" s="158"/>
      <c r="O24" s="158"/>
      <c r="P24" s="158"/>
      <c r="R24" s="241" t="s">
        <v>288</v>
      </c>
      <c r="S24" s="169">
        <v>32.799999999999997</v>
      </c>
      <c r="T24" s="215">
        <v>8.9999999999999993E-3</v>
      </c>
      <c r="U24" s="216">
        <v>2.7E-2</v>
      </c>
      <c r="V24" s="193">
        <v>3.5999999999999997E-2</v>
      </c>
      <c r="W24" s="213">
        <v>4.3999999999999997E-2</v>
      </c>
      <c r="X24" s="217">
        <v>4.8000000000000001E-2</v>
      </c>
      <c r="Y24" s="218">
        <v>4.9000000000000002E-2</v>
      </c>
      <c r="Z24" s="171">
        <v>4.7E-2</v>
      </c>
      <c r="AA24" s="213">
        <v>4.3999999999999997E-2</v>
      </c>
      <c r="AB24" s="158"/>
      <c r="AC24" s="158"/>
      <c r="AD24" s="158"/>
      <c r="AE24" s="158"/>
      <c r="AF24" s="158"/>
      <c r="AH24" s="241" t="s">
        <v>288</v>
      </c>
      <c r="AI24" s="169">
        <v>32.799999999999997</v>
      </c>
      <c r="AJ24" s="215">
        <v>8.9999999999999993E-3</v>
      </c>
      <c r="AK24" s="216">
        <v>2.7E-2</v>
      </c>
      <c r="AL24" s="193">
        <v>3.5999999999999997E-2</v>
      </c>
      <c r="AM24" s="213">
        <v>4.3999999999999997E-2</v>
      </c>
      <c r="AN24" s="217">
        <v>4.8000000000000001E-2</v>
      </c>
      <c r="AO24" s="218">
        <v>4.9000000000000002E-2</v>
      </c>
      <c r="AP24" s="171">
        <v>4.7E-2</v>
      </c>
      <c r="AQ24" s="213">
        <v>4.3999999999999997E-2</v>
      </c>
      <c r="AR24" s="158"/>
      <c r="AS24" s="158"/>
      <c r="AT24" s="158"/>
      <c r="AU24" s="158"/>
      <c r="AV24" s="158"/>
      <c r="AX24" s="241" t="s">
        <v>288</v>
      </c>
      <c r="AY24" s="169">
        <v>32.799999999999997</v>
      </c>
      <c r="AZ24" s="215">
        <v>8.9999999999999993E-3</v>
      </c>
      <c r="BA24" s="216">
        <v>2.7E-2</v>
      </c>
      <c r="BB24" s="193">
        <v>3.5999999999999997E-2</v>
      </c>
      <c r="BC24" s="213">
        <v>4.3999999999999997E-2</v>
      </c>
      <c r="BD24" s="217">
        <v>4.8000000000000001E-2</v>
      </c>
      <c r="BE24" s="218">
        <v>4.9000000000000002E-2</v>
      </c>
      <c r="BF24" s="171">
        <v>4.7E-2</v>
      </c>
      <c r="BG24" s="213">
        <v>4.3999999999999997E-2</v>
      </c>
      <c r="BH24" s="158"/>
      <c r="BI24" s="158"/>
      <c r="BJ24" s="158"/>
      <c r="BK24" s="158"/>
      <c r="BL24" s="158"/>
      <c r="BN24" s="241" t="s">
        <v>288</v>
      </c>
      <c r="BO24" s="169">
        <v>32.799999999999997</v>
      </c>
      <c r="BP24" s="215">
        <v>8.9999999999999993E-3</v>
      </c>
      <c r="BQ24" s="216">
        <v>2.7E-2</v>
      </c>
      <c r="BR24" s="193">
        <v>3.5999999999999997E-2</v>
      </c>
      <c r="BS24" s="213">
        <v>4.3999999999999997E-2</v>
      </c>
      <c r="BT24" s="217">
        <v>4.8000000000000001E-2</v>
      </c>
      <c r="BU24" s="218">
        <v>4.9000000000000002E-2</v>
      </c>
      <c r="BV24" s="171">
        <v>4.7E-2</v>
      </c>
      <c r="BW24" s="213">
        <v>4.3999999999999997E-2</v>
      </c>
      <c r="BX24" s="158"/>
      <c r="BY24" s="158"/>
      <c r="BZ24" s="158"/>
      <c r="CA24" s="158"/>
      <c r="CB24" s="158"/>
      <c r="CD24" s="241" t="s">
        <v>288</v>
      </c>
      <c r="CE24" s="169">
        <v>32.799999999999997</v>
      </c>
      <c r="CF24" s="169"/>
      <c r="CG24" s="215">
        <v>8.9999999999999993E-3</v>
      </c>
      <c r="CH24" s="216">
        <v>2.7E-2</v>
      </c>
      <c r="CI24" s="193">
        <v>3.5999999999999997E-2</v>
      </c>
      <c r="CJ24" s="213">
        <v>4.3999999999999997E-2</v>
      </c>
      <c r="CK24" s="217">
        <v>4.8000000000000001E-2</v>
      </c>
      <c r="CL24" s="218">
        <v>4.9000000000000002E-2</v>
      </c>
      <c r="CM24" s="171">
        <v>4.7E-2</v>
      </c>
      <c r="CN24" s="213">
        <v>4.3999999999999997E-2</v>
      </c>
      <c r="CO24" s="158"/>
      <c r="CP24" s="158"/>
      <c r="CQ24" s="158"/>
      <c r="CR24" s="158"/>
      <c r="CS24" s="158"/>
      <c r="CU24" s="241" t="s">
        <v>288</v>
      </c>
      <c r="CV24" s="169">
        <v>32.799999999999997</v>
      </c>
      <c r="CW24" s="215">
        <v>8.9999999999999993E-3</v>
      </c>
      <c r="CX24" s="216">
        <v>2.7E-2</v>
      </c>
      <c r="CY24" s="193">
        <v>3.5999999999999997E-2</v>
      </c>
      <c r="CZ24" s="213">
        <v>4.3999999999999997E-2</v>
      </c>
      <c r="DA24" s="217">
        <v>4.8000000000000001E-2</v>
      </c>
      <c r="DB24" s="218">
        <v>4.9000000000000002E-2</v>
      </c>
      <c r="DC24" s="171">
        <v>4.7E-2</v>
      </c>
      <c r="DD24" s="213">
        <v>4.3999999999999997E-2</v>
      </c>
      <c r="DE24" s="158"/>
      <c r="DF24" s="158"/>
      <c r="DG24" s="158"/>
      <c r="DH24" s="158"/>
      <c r="DI24" s="158"/>
    </row>
    <row r="25" spans="1:113" x14ac:dyDescent="0.2">
      <c r="A25" s="363"/>
      <c r="B25" s="241" t="s">
        <v>289</v>
      </c>
      <c r="C25" s="169">
        <v>32.6</v>
      </c>
      <c r="D25" s="183">
        <v>8.0000000000000002E-3</v>
      </c>
      <c r="E25" s="178">
        <v>2.4E-2</v>
      </c>
      <c r="F25" s="189">
        <v>3.5000000000000003E-2</v>
      </c>
      <c r="G25" s="180">
        <v>4.2999999999999997E-2</v>
      </c>
      <c r="H25" s="219">
        <v>4.7E-2</v>
      </c>
      <c r="I25" s="220">
        <v>4.8000000000000001E-2</v>
      </c>
      <c r="J25" s="221">
        <v>4.5999999999999999E-2</v>
      </c>
      <c r="K25" s="158"/>
      <c r="L25" s="158"/>
      <c r="M25" s="158"/>
      <c r="N25" s="158"/>
      <c r="O25" s="158"/>
      <c r="P25" s="158"/>
      <c r="R25" s="241" t="s">
        <v>289</v>
      </c>
      <c r="S25" s="169">
        <v>32.6</v>
      </c>
      <c r="T25" s="183">
        <v>8.0000000000000002E-3</v>
      </c>
      <c r="U25" s="178">
        <v>2.4E-2</v>
      </c>
      <c r="V25" s="189">
        <v>3.5000000000000003E-2</v>
      </c>
      <c r="W25" s="180">
        <v>4.2999999999999997E-2</v>
      </c>
      <c r="X25" s="219">
        <v>4.7E-2</v>
      </c>
      <c r="Y25" s="220">
        <v>4.8000000000000001E-2</v>
      </c>
      <c r="Z25" s="221">
        <v>4.5999999999999999E-2</v>
      </c>
      <c r="AA25" s="158"/>
      <c r="AB25" s="158"/>
      <c r="AC25" s="158"/>
      <c r="AD25" s="158"/>
      <c r="AE25" s="158"/>
      <c r="AF25" s="158"/>
      <c r="AH25" s="241" t="s">
        <v>289</v>
      </c>
      <c r="AI25" s="169">
        <v>32.6</v>
      </c>
      <c r="AJ25" s="183">
        <v>8.0000000000000002E-3</v>
      </c>
      <c r="AK25" s="178">
        <v>2.4E-2</v>
      </c>
      <c r="AL25" s="189">
        <v>3.5000000000000003E-2</v>
      </c>
      <c r="AM25" s="180">
        <v>4.2999999999999997E-2</v>
      </c>
      <c r="AN25" s="219">
        <v>4.7E-2</v>
      </c>
      <c r="AO25" s="220">
        <v>4.8000000000000001E-2</v>
      </c>
      <c r="AP25" s="221">
        <v>4.5999999999999999E-2</v>
      </c>
      <c r="AQ25" s="158"/>
      <c r="AR25" s="158"/>
      <c r="AS25" s="158"/>
      <c r="AT25" s="158"/>
      <c r="AU25" s="158"/>
      <c r="AV25" s="158"/>
      <c r="AX25" s="241" t="s">
        <v>289</v>
      </c>
      <c r="AY25" s="169">
        <v>32.6</v>
      </c>
      <c r="AZ25" s="183">
        <v>8.0000000000000002E-3</v>
      </c>
      <c r="BA25" s="178">
        <v>2.4E-2</v>
      </c>
      <c r="BB25" s="189">
        <v>3.5000000000000003E-2</v>
      </c>
      <c r="BC25" s="180">
        <v>4.2999999999999997E-2</v>
      </c>
      <c r="BD25" s="219">
        <v>4.7E-2</v>
      </c>
      <c r="BE25" s="220">
        <v>4.8000000000000001E-2</v>
      </c>
      <c r="BF25" s="221">
        <v>4.5999999999999999E-2</v>
      </c>
      <c r="BG25" s="158"/>
      <c r="BH25" s="158"/>
      <c r="BI25" s="158"/>
      <c r="BJ25" s="158"/>
      <c r="BK25" s="158"/>
      <c r="BL25" s="158"/>
      <c r="BN25" s="241" t="s">
        <v>289</v>
      </c>
      <c r="BO25" s="169">
        <v>32.6</v>
      </c>
      <c r="BP25" s="183">
        <v>8.0000000000000002E-3</v>
      </c>
      <c r="BQ25" s="178">
        <v>2.4E-2</v>
      </c>
      <c r="BR25" s="189">
        <v>3.5000000000000003E-2</v>
      </c>
      <c r="BS25" s="180">
        <v>4.2999999999999997E-2</v>
      </c>
      <c r="BT25" s="219">
        <v>4.7E-2</v>
      </c>
      <c r="BU25" s="220">
        <v>4.8000000000000001E-2</v>
      </c>
      <c r="BV25" s="221">
        <v>4.5999999999999999E-2</v>
      </c>
      <c r="BW25" s="158"/>
      <c r="BX25" s="158"/>
      <c r="BY25" s="158"/>
      <c r="BZ25" s="158"/>
      <c r="CA25" s="158"/>
      <c r="CB25" s="158"/>
      <c r="CD25" s="241" t="s">
        <v>289</v>
      </c>
      <c r="CE25" s="169">
        <v>32.6</v>
      </c>
      <c r="CF25" s="169"/>
      <c r="CG25" s="183">
        <v>8.0000000000000002E-3</v>
      </c>
      <c r="CH25" s="178">
        <v>2.4E-2</v>
      </c>
      <c r="CI25" s="189">
        <v>3.5000000000000003E-2</v>
      </c>
      <c r="CJ25" s="180">
        <v>4.2999999999999997E-2</v>
      </c>
      <c r="CK25" s="219">
        <v>4.7E-2</v>
      </c>
      <c r="CL25" s="220">
        <v>4.8000000000000001E-2</v>
      </c>
      <c r="CM25" s="221">
        <v>4.5999999999999999E-2</v>
      </c>
      <c r="CN25" s="158"/>
      <c r="CO25" s="158"/>
      <c r="CP25" s="158"/>
      <c r="CQ25" s="158"/>
      <c r="CR25" s="158"/>
      <c r="CS25" s="158"/>
      <c r="CU25" s="241" t="s">
        <v>289</v>
      </c>
      <c r="CV25" s="169">
        <v>32.6</v>
      </c>
      <c r="CW25" s="183">
        <v>8.0000000000000002E-3</v>
      </c>
      <c r="CX25" s="178">
        <v>2.4E-2</v>
      </c>
      <c r="CY25" s="189">
        <v>3.5000000000000003E-2</v>
      </c>
      <c r="CZ25" s="180">
        <v>4.2999999999999997E-2</v>
      </c>
      <c r="DA25" s="219">
        <v>4.7E-2</v>
      </c>
      <c r="DB25" s="220">
        <v>4.8000000000000001E-2</v>
      </c>
      <c r="DC25" s="221">
        <v>4.5999999999999999E-2</v>
      </c>
      <c r="DD25" s="158"/>
      <c r="DE25" s="158"/>
      <c r="DF25" s="158"/>
      <c r="DG25" s="158"/>
      <c r="DH25" s="158"/>
      <c r="DI25" s="158"/>
    </row>
    <row r="26" spans="1:113" x14ac:dyDescent="0.2">
      <c r="A26" s="363"/>
      <c r="B26" s="241" t="s">
        <v>259</v>
      </c>
      <c r="C26" s="169">
        <v>37.9</v>
      </c>
      <c r="D26" s="176">
        <v>7.0000000000000001E-3</v>
      </c>
      <c r="E26" s="222">
        <v>2.4E-2</v>
      </c>
      <c r="F26" s="223">
        <v>3.6999999999999998E-2</v>
      </c>
      <c r="G26" s="217">
        <v>4.8000000000000001E-2</v>
      </c>
      <c r="H26" s="224">
        <v>5.3999999999999999E-2</v>
      </c>
      <c r="I26" s="225">
        <v>5.2999999999999999E-2</v>
      </c>
      <c r="J26" s="158"/>
      <c r="K26" s="158"/>
      <c r="L26" s="158"/>
      <c r="M26" s="158"/>
      <c r="N26" s="158"/>
      <c r="O26" s="158"/>
      <c r="P26" s="158"/>
      <c r="R26" s="241" t="s">
        <v>259</v>
      </c>
      <c r="S26" s="169">
        <v>37.9</v>
      </c>
      <c r="T26" s="176">
        <v>7.0000000000000001E-3</v>
      </c>
      <c r="U26" s="222">
        <v>2.4E-2</v>
      </c>
      <c r="V26" s="223">
        <v>3.6999999999999998E-2</v>
      </c>
      <c r="W26" s="217">
        <v>4.8000000000000001E-2</v>
      </c>
      <c r="X26" s="224">
        <v>5.3999999999999999E-2</v>
      </c>
      <c r="Y26" s="225">
        <v>5.2999999999999999E-2</v>
      </c>
      <c r="Z26" s="158"/>
      <c r="AA26" s="158"/>
      <c r="AB26" s="158"/>
      <c r="AC26" s="158"/>
      <c r="AD26" s="158"/>
      <c r="AE26" s="158"/>
      <c r="AF26" s="158"/>
      <c r="AH26" s="241" t="s">
        <v>259</v>
      </c>
      <c r="AI26" s="169">
        <v>37.9</v>
      </c>
      <c r="AJ26" s="176">
        <v>7.0000000000000001E-3</v>
      </c>
      <c r="AK26" s="222">
        <v>2.4E-2</v>
      </c>
      <c r="AL26" s="223">
        <v>3.6999999999999998E-2</v>
      </c>
      <c r="AM26" s="217">
        <v>4.8000000000000001E-2</v>
      </c>
      <c r="AN26" s="224">
        <v>5.3999999999999999E-2</v>
      </c>
      <c r="AO26" s="225">
        <v>5.2999999999999999E-2</v>
      </c>
      <c r="AP26" s="158"/>
      <c r="AQ26" s="158"/>
      <c r="AR26" s="158"/>
      <c r="AS26" s="158"/>
      <c r="AT26" s="158"/>
      <c r="AU26" s="158"/>
      <c r="AV26" s="158"/>
      <c r="AX26" s="241" t="s">
        <v>259</v>
      </c>
      <c r="AY26" s="169">
        <v>37.9</v>
      </c>
      <c r="AZ26" s="176">
        <v>7.0000000000000001E-3</v>
      </c>
      <c r="BA26" s="222">
        <v>2.4E-2</v>
      </c>
      <c r="BB26" s="223">
        <v>3.6999999999999998E-2</v>
      </c>
      <c r="BC26" s="217">
        <v>4.8000000000000001E-2</v>
      </c>
      <c r="BD26" s="224">
        <v>5.3999999999999999E-2</v>
      </c>
      <c r="BE26" s="225">
        <v>5.2999999999999999E-2</v>
      </c>
      <c r="BF26" s="158"/>
      <c r="BG26" s="158"/>
      <c r="BH26" s="158"/>
      <c r="BI26" s="158"/>
      <c r="BJ26" s="158"/>
      <c r="BK26" s="158"/>
      <c r="BL26" s="158"/>
      <c r="BN26" s="241" t="s">
        <v>259</v>
      </c>
      <c r="BO26" s="169">
        <v>37.9</v>
      </c>
      <c r="BP26" s="176">
        <v>7.0000000000000001E-3</v>
      </c>
      <c r="BQ26" s="222">
        <v>2.4E-2</v>
      </c>
      <c r="BR26" s="223">
        <v>3.6999999999999998E-2</v>
      </c>
      <c r="BS26" s="217">
        <v>4.8000000000000001E-2</v>
      </c>
      <c r="BT26" s="224">
        <v>5.3999999999999999E-2</v>
      </c>
      <c r="BU26" s="225">
        <v>5.2999999999999999E-2</v>
      </c>
      <c r="BV26" s="158"/>
      <c r="BW26" s="158"/>
      <c r="BX26" s="158"/>
      <c r="BY26" s="158"/>
      <c r="BZ26" s="158"/>
      <c r="CA26" s="158"/>
      <c r="CB26" s="158"/>
      <c r="CD26" s="241" t="s">
        <v>259</v>
      </c>
      <c r="CE26" s="169">
        <v>37.9</v>
      </c>
      <c r="CF26" s="169"/>
      <c r="CG26" s="176">
        <v>7.0000000000000001E-3</v>
      </c>
      <c r="CH26" s="222">
        <v>2.4E-2</v>
      </c>
      <c r="CI26" s="223">
        <v>3.6999999999999998E-2</v>
      </c>
      <c r="CJ26" s="217">
        <v>4.8000000000000001E-2</v>
      </c>
      <c r="CK26" s="224">
        <v>5.3999999999999999E-2</v>
      </c>
      <c r="CL26" s="225">
        <v>5.2999999999999999E-2</v>
      </c>
      <c r="CM26" s="158"/>
      <c r="CN26" s="158"/>
      <c r="CO26" s="158"/>
      <c r="CP26" s="158"/>
      <c r="CQ26" s="158"/>
      <c r="CR26" s="158"/>
      <c r="CS26" s="158"/>
      <c r="CU26" s="241" t="s">
        <v>259</v>
      </c>
      <c r="CV26" s="169">
        <v>37.9</v>
      </c>
      <c r="CW26" s="176">
        <v>7.0000000000000001E-3</v>
      </c>
      <c r="CX26" s="222">
        <v>2.4E-2</v>
      </c>
      <c r="CY26" s="223">
        <v>3.6999999999999998E-2</v>
      </c>
      <c r="CZ26" s="217">
        <v>4.8000000000000001E-2</v>
      </c>
      <c r="DA26" s="224">
        <v>5.3999999999999999E-2</v>
      </c>
      <c r="DB26" s="225">
        <v>5.2999999999999999E-2</v>
      </c>
      <c r="DC26" s="158"/>
      <c r="DD26" s="158"/>
      <c r="DE26" s="158"/>
      <c r="DF26" s="158"/>
      <c r="DG26" s="158"/>
      <c r="DH26" s="158"/>
      <c r="DI26" s="158"/>
    </row>
    <row r="27" spans="1:113" x14ac:dyDescent="0.2">
      <c r="A27" s="363"/>
      <c r="B27" s="241" t="s">
        <v>260</v>
      </c>
      <c r="C27" s="169">
        <v>51.8</v>
      </c>
      <c r="D27" s="164">
        <v>8.9999999999999993E-3</v>
      </c>
      <c r="E27" s="226">
        <v>2.5000000000000001E-2</v>
      </c>
      <c r="F27" s="160">
        <v>3.5999999999999997E-2</v>
      </c>
      <c r="G27" s="227">
        <v>4.7E-2</v>
      </c>
      <c r="H27" s="228">
        <v>0.05</v>
      </c>
      <c r="I27" s="158"/>
      <c r="J27" s="158"/>
      <c r="K27" s="158"/>
      <c r="L27" s="158"/>
      <c r="M27" s="158"/>
      <c r="N27" s="158"/>
      <c r="O27" s="158"/>
      <c r="P27" s="158"/>
      <c r="R27" s="241" t="s">
        <v>260</v>
      </c>
      <c r="S27" s="169">
        <v>51.8</v>
      </c>
      <c r="T27" s="164">
        <v>8.9999999999999993E-3</v>
      </c>
      <c r="U27" s="226">
        <v>2.5000000000000001E-2</v>
      </c>
      <c r="V27" s="160">
        <v>3.5999999999999997E-2</v>
      </c>
      <c r="W27" s="227">
        <v>4.7E-2</v>
      </c>
      <c r="X27" s="228">
        <v>0.05</v>
      </c>
      <c r="Y27" s="158"/>
      <c r="Z27" s="158"/>
      <c r="AA27" s="158"/>
      <c r="AB27" s="158"/>
      <c r="AC27" s="158"/>
      <c r="AD27" s="158"/>
      <c r="AE27" s="158"/>
      <c r="AF27" s="158"/>
      <c r="AH27" s="241" t="s">
        <v>260</v>
      </c>
      <c r="AI27" s="169">
        <v>51.8</v>
      </c>
      <c r="AJ27" s="164">
        <v>8.9999999999999993E-3</v>
      </c>
      <c r="AK27" s="226">
        <v>2.5000000000000001E-2</v>
      </c>
      <c r="AL27" s="160">
        <v>3.5999999999999997E-2</v>
      </c>
      <c r="AM27" s="227">
        <v>4.7E-2</v>
      </c>
      <c r="AN27" s="228">
        <v>0.05</v>
      </c>
      <c r="AO27" s="158"/>
      <c r="AP27" s="158"/>
      <c r="AQ27" s="158"/>
      <c r="AR27" s="158"/>
      <c r="AS27" s="158"/>
      <c r="AT27" s="158"/>
      <c r="AU27" s="158"/>
      <c r="AV27" s="158"/>
      <c r="AX27" s="241" t="s">
        <v>260</v>
      </c>
      <c r="AY27" s="169">
        <v>51.8</v>
      </c>
      <c r="AZ27" s="164">
        <v>8.9999999999999993E-3</v>
      </c>
      <c r="BA27" s="226">
        <v>2.5000000000000001E-2</v>
      </c>
      <c r="BB27" s="160">
        <v>3.5999999999999997E-2</v>
      </c>
      <c r="BC27" s="227">
        <v>4.7E-2</v>
      </c>
      <c r="BD27" s="228">
        <v>0.05</v>
      </c>
      <c r="BE27" s="158"/>
      <c r="BF27" s="158"/>
      <c r="BG27" s="158"/>
      <c r="BH27" s="158"/>
      <c r="BI27" s="158"/>
      <c r="BJ27" s="158"/>
      <c r="BK27" s="158"/>
      <c r="BL27" s="158"/>
      <c r="BN27" s="241" t="s">
        <v>260</v>
      </c>
      <c r="BO27" s="169">
        <v>51.8</v>
      </c>
      <c r="BP27" s="164">
        <v>8.9999999999999993E-3</v>
      </c>
      <c r="BQ27" s="226">
        <v>2.5000000000000001E-2</v>
      </c>
      <c r="BR27" s="160">
        <v>3.5999999999999997E-2</v>
      </c>
      <c r="BS27" s="227">
        <v>4.7E-2</v>
      </c>
      <c r="BT27" s="228">
        <v>0.05</v>
      </c>
      <c r="BU27" s="158"/>
      <c r="BV27" s="158"/>
      <c r="BW27" s="158"/>
      <c r="BX27" s="158"/>
      <c r="BY27" s="158"/>
      <c r="BZ27" s="158"/>
      <c r="CA27" s="158"/>
      <c r="CB27" s="158"/>
      <c r="CD27" s="241" t="s">
        <v>260</v>
      </c>
      <c r="CE27" s="169">
        <v>51.8</v>
      </c>
      <c r="CF27" s="169"/>
      <c r="CG27" s="164">
        <v>8.9999999999999993E-3</v>
      </c>
      <c r="CH27" s="226">
        <v>2.5000000000000001E-2</v>
      </c>
      <c r="CI27" s="160">
        <v>3.5999999999999997E-2</v>
      </c>
      <c r="CJ27" s="227">
        <v>4.7E-2</v>
      </c>
      <c r="CK27" s="228">
        <v>0.05</v>
      </c>
      <c r="CL27" s="158"/>
      <c r="CM27" s="158"/>
      <c r="CN27" s="158"/>
      <c r="CO27" s="158"/>
      <c r="CP27" s="158"/>
      <c r="CQ27" s="158"/>
      <c r="CR27" s="158"/>
      <c r="CS27" s="158"/>
      <c r="CU27" s="241" t="s">
        <v>260</v>
      </c>
      <c r="CV27" s="169">
        <v>51.8</v>
      </c>
      <c r="CW27" s="164">
        <v>8.9999999999999993E-3</v>
      </c>
      <c r="CX27" s="226">
        <v>2.5000000000000001E-2</v>
      </c>
      <c r="CY27" s="160">
        <v>3.5999999999999997E-2</v>
      </c>
      <c r="CZ27" s="227">
        <v>4.7E-2</v>
      </c>
      <c r="DA27" s="228">
        <v>0.05</v>
      </c>
      <c r="DB27" s="158"/>
      <c r="DC27" s="158"/>
      <c r="DD27" s="158"/>
      <c r="DE27" s="158"/>
      <c r="DF27" s="158"/>
      <c r="DG27" s="158"/>
      <c r="DH27" s="158"/>
      <c r="DI27" s="158"/>
    </row>
    <row r="28" spans="1:113" x14ac:dyDescent="0.2">
      <c r="A28" s="363"/>
      <c r="B28" s="241" t="s">
        <v>261</v>
      </c>
      <c r="C28" s="169">
        <v>51.8</v>
      </c>
      <c r="D28" s="229">
        <v>7.0000000000000001E-3</v>
      </c>
      <c r="E28" s="230">
        <v>2.4E-2</v>
      </c>
      <c r="F28" s="201">
        <v>3.7999999999999999E-2</v>
      </c>
      <c r="G28" s="231">
        <v>4.4999999999999998E-2</v>
      </c>
      <c r="H28" s="158"/>
      <c r="I28" s="158"/>
      <c r="J28" s="158"/>
      <c r="K28" s="158"/>
      <c r="L28" s="158"/>
      <c r="M28" s="158"/>
      <c r="N28" s="158"/>
      <c r="O28" s="158"/>
      <c r="P28" s="158"/>
      <c r="R28" s="241" t="s">
        <v>261</v>
      </c>
      <c r="S28" s="169">
        <v>51.8</v>
      </c>
      <c r="T28" s="229">
        <v>7.0000000000000001E-3</v>
      </c>
      <c r="U28" s="230">
        <v>2.4E-2</v>
      </c>
      <c r="V28" s="201">
        <v>3.7999999999999999E-2</v>
      </c>
      <c r="W28" s="231">
        <v>4.4999999999999998E-2</v>
      </c>
      <c r="X28" s="158"/>
      <c r="Y28" s="158"/>
      <c r="Z28" s="158"/>
      <c r="AA28" s="158"/>
      <c r="AB28" s="158"/>
      <c r="AC28" s="158"/>
      <c r="AD28" s="158"/>
      <c r="AE28" s="158"/>
      <c r="AF28" s="158"/>
      <c r="AH28" s="241" t="s">
        <v>261</v>
      </c>
      <c r="AI28" s="169">
        <v>51.8</v>
      </c>
      <c r="AJ28" s="229">
        <v>7.0000000000000001E-3</v>
      </c>
      <c r="AK28" s="230">
        <v>2.4E-2</v>
      </c>
      <c r="AL28" s="201">
        <v>3.7999999999999999E-2</v>
      </c>
      <c r="AM28" s="231">
        <v>4.4999999999999998E-2</v>
      </c>
      <c r="AN28" s="158"/>
      <c r="AO28" s="158"/>
      <c r="AP28" s="158"/>
      <c r="AQ28" s="158"/>
      <c r="AR28" s="158"/>
      <c r="AS28" s="158"/>
      <c r="AT28" s="158"/>
      <c r="AU28" s="158"/>
      <c r="AV28" s="158"/>
      <c r="AX28" s="241" t="s">
        <v>261</v>
      </c>
      <c r="AY28" s="169">
        <v>51.8</v>
      </c>
      <c r="AZ28" s="229">
        <v>7.0000000000000001E-3</v>
      </c>
      <c r="BA28" s="230">
        <v>2.4E-2</v>
      </c>
      <c r="BB28" s="201">
        <v>3.7999999999999999E-2</v>
      </c>
      <c r="BC28" s="231">
        <v>4.4999999999999998E-2</v>
      </c>
      <c r="BD28" s="158"/>
      <c r="BE28" s="158"/>
      <c r="BF28" s="158"/>
      <c r="BG28" s="158"/>
      <c r="BH28" s="158"/>
      <c r="BI28" s="158"/>
      <c r="BJ28" s="158"/>
      <c r="BK28" s="158"/>
      <c r="BL28" s="158"/>
      <c r="BN28" s="241" t="s">
        <v>261</v>
      </c>
      <c r="BO28" s="169">
        <v>51.8</v>
      </c>
      <c r="BP28" s="229">
        <v>7.0000000000000001E-3</v>
      </c>
      <c r="BQ28" s="230">
        <v>2.4E-2</v>
      </c>
      <c r="BR28" s="201">
        <v>3.7999999999999999E-2</v>
      </c>
      <c r="BS28" s="231">
        <v>4.4999999999999998E-2</v>
      </c>
      <c r="BT28" s="158"/>
      <c r="BU28" s="158"/>
      <c r="BV28" s="158"/>
      <c r="BW28" s="158"/>
      <c r="BX28" s="158"/>
      <c r="BY28" s="158"/>
      <c r="BZ28" s="158"/>
      <c r="CA28" s="158"/>
      <c r="CB28" s="158"/>
      <c r="CD28" s="241" t="s">
        <v>261</v>
      </c>
      <c r="CE28" s="169">
        <v>51.8</v>
      </c>
      <c r="CF28" s="169"/>
      <c r="CG28" s="229">
        <v>7.0000000000000001E-3</v>
      </c>
      <c r="CH28" s="230">
        <v>2.4E-2</v>
      </c>
      <c r="CI28" s="201">
        <v>3.7999999999999999E-2</v>
      </c>
      <c r="CJ28" s="231">
        <v>4.4999999999999998E-2</v>
      </c>
      <c r="CK28" s="158"/>
      <c r="CL28" s="158"/>
      <c r="CM28" s="158"/>
      <c r="CN28" s="158"/>
      <c r="CO28" s="158"/>
      <c r="CP28" s="158"/>
      <c r="CQ28" s="158"/>
      <c r="CR28" s="158"/>
      <c r="CS28" s="158"/>
      <c r="CU28" s="241" t="s">
        <v>261</v>
      </c>
      <c r="CV28" s="169">
        <v>51.8</v>
      </c>
      <c r="CW28" s="229">
        <v>7.0000000000000001E-3</v>
      </c>
      <c r="CX28" s="230">
        <v>2.4E-2</v>
      </c>
      <c r="CY28" s="201">
        <v>3.7999999999999999E-2</v>
      </c>
      <c r="CZ28" s="231">
        <v>4.4999999999999998E-2</v>
      </c>
      <c r="DA28" s="158"/>
      <c r="DB28" s="158"/>
      <c r="DC28" s="158"/>
      <c r="DD28" s="158"/>
      <c r="DE28" s="158"/>
      <c r="DF28" s="158"/>
      <c r="DG28" s="158"/>
      <c r="DH28" s="158"/>
      <c r="DI28" s="158"/>
    </row>
    <row r="29" spans="1:113" x14ac:dyDescent="0.2">
      <c r="A29" s="363"/>
      <c r="B29" s="241" t="s">
        <v>262</v>
      </c>
      <c r="C29" s="169">
        <v>51.3</v>
      </c>
      <c r="D29" s="232">
        <v>8.9999999999999993E-3</v>
      </c>
      <c r="E29" s="233">
        <v>2.5999999999999999E-2</v>
      </c>
      <c r="F29" s="234">
        <v>3.7999999999999999E-2</v>
      </c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R29" s="241" t="s">
        <v>262</v>
      </c>
      <c r="S29" s="169">
        <v>51.3</v>
      </c>
      <c r="T29" s="232">
        <v>8.9999999999999993E-3</v>
      </c>
      <c r="U29" s="233">
        <v>2.5999999999999999E-2</v>
      </c>
      <c r="V29" s="234">
        <v>3.7999999999999999E-2</v>
      </c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H29" s="241" t="s">
        <v>262</v>
      </c>
      <c r="AI29" s="169">
        <v>51.3</v>
      </c>
      <c r="AJ29" s="232">
        <v>8.9999999999999993E-3</v>
      </c>
      <c r="AK29" s="233">
        <v>2.5999999999999999E-2</v>
      </c>
      <c r="AL29" s="234">
        <v>3.7999999999999999E-2</v>
      </c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X29" s="241" t="s">
        <v>262</v>
      </c>
      <c r="AY29" s="169">
        <v>51.3</v>
      </c>
      <c r="AZ29" s="232">
        <v>8.9999999999999993E-3</v>
      </c>
      <c r="BA29" s="233">
        <v>2.5999999999999999E-2</v>
      </c>
      <c r="BB29" s="234">
        <v>3.7999999999999999E-2</v>
      </c>
      <c r="BC29" s="158"/>
      <c r="BD29" s="158"/>
      <c r="BE29" s="158"/>
      <c r="BF29" s="158"/>
      <c r="BG29" s="158"/>
      <c r="BH29" s="158"/>
      <c r="BI29" s="158"/>
      <c r="BJ29" s="158"/>
      <c r="BK29" s="158"/>
      <c r="BL29" s="158"/>
      <c r="BN29" s="241" t="s">
        <v>262</v>
      </c>
      <c r="BO29" s="169">
        <v>51.3</v>
      </c>
      <c r="BP29" s="232">
        <v>8.9999999999999993E-3</v>
      </c>
      <c r="BQ29" s="233">
        <v>2.5999999999999999E-2</v>
      </c>
      <c r="BR29" s="234">
        <v>3.7999999999999999E-2</v>
      </c>
      <c r="BS29" s="158"/>
      <c r="BT29" s="158"/>
      <c r="BU29" s="158"/>
      <c r="BV29" s="158"/>
      <c r="BW29" s="158"/>
      <c r="BX29" s="158"/>
      <c r="BY29" s="158"/>
      <c r="BZ29" s="158"/>
      <c r="CA29" s="158"/>
      <c r="CB29" s="158"/>
      <c r="CD29" s="241" t="s">
        <v>262</v>
      </c>
      <c r="CE29" s="169">
        <v>51.3</v>
      </c>
      <c r="CF29" s="169"/>
      <c r="CG29" s="232">
        <v>8.9999999999999993E-3</v>
      </c>
      <c r="CH29" s="233">
        <v>2.5999999999999999E-2</v>
      </c>
      <c r="CI29" s="234">
        <v>3.7999999999999999E-2</v>
      </c>
      <c r="CJ29" s="158"/>
      <c r="CK29" s="158"/>
      <c r="CL29" s="158"/>
      <c r="CM29" s="158"/>
      <c r="CN29" s="158"/>
      <c r="CO29" s="158"/>
      <c r="CP29" s="158"/>
      <c r="CQ29" s="158"/>
      <c r="CR29" s="158"/>
      <c r="CS29" s="158"/>
      <c r="CU29" s="241" t="s">
        <v>262</v>
      </c>
      <c r="CV29" s="169">
        <v>51.3</v>
      </c>
      <c r="CW29" s="232">
        <v>8.9999999999999993E-3</v>
      </c>
      <c r="CX29" s="233">
        <v>2.5999999999999999E-2</v>
      </c>
      <c r="CY29" s="234">
        <v>3.7999999999999999E-2</v>
      </c>
      <c r="CZ29" s="158"/>
      <c r="DA29" s="158"/>
      <c r="DB29" s="158"/>
      <c r="DC29" s="158"/>
      <c r="DD29" s="158"/>
      <c r="DE29" s="158"/>
      <c r="DF29" s="158"/>
      <c r="DG29" s="158"/>
      <c r="DH29" s="158"/>
      <c r="DI29" s="158"/>
    </row>
    <row r="30" spans="1:113" x14ac:dyDescent="0.2">
      <c r="A30" s="363"/>
      <c r="B30" s="241" t="s">
        <v>263</v>
      </c>
      <c r="C30" s="169">
        <v>57.6</v>
      </c>
      <c r="D30" s="235">
        <v>8.9999999999999993E-3</v>
      </c>
      <c r="E30" s="236">
        <v>2.5000000000000001E-2</v>
      </c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R30" s="241" t="s">
        <v>263</v>
      </c>
      <c r="S30" s="169">
        <v>57.6</v>
      </c>
      <c r="T30" s="235">
        <v>8.9999999999999993E-3</v>
      </c>
      <c r="U30" s="236">
        <v>2.5000000000000001E-2</v>
      </c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H30" s="241" t="s">
        <v>263</v>
      </c>
      <c r="AI30" s="169">
        <v>57.6</v>
      </c>
      <c r="AJ30" s="235">
        <v>8.9999999999999993E-3</v>
      </c>
      <c r="AK30" s="236">
        <v>2.5000000000000001E-2</v>
      </c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X30" s="241" t="s">
        <v>263</v>
      </c>
      <c r="AY30" s="169">
        <v>57.6</v>
      </c>
      <c r="AZ30" s="235">
        <v>8.9999999999999993E-3</v>
      </c>
      <c r="BA30" s="236">
        <v>2.5000000000000001E-2</v>
      </c>
      <c r="BB30" s="158"/>
      <c r="BC30" s="158"/>
      <c r="BD30" s="158"/>
      <c r="BE30" s="158"/>
      <c r="BF30" s="158"/>
      <c r="BG30" s="158"/>
      <c r="BH30" s="158"/>
      <c r="BI30" s="158"/>
      <c r="BJ30" s="158"/>
      <c r="BK30" s="158"/>
      <c r="BL30" s="158"/>
      <c r="BN30" s="241" t="s">
        <v>263</v>
      </c>
      <c r="BO30" s="169">
        <v>57.6</v>
      </c>
      <c r="BP30" s="235">
        <v>8.9999999999999993E-3</v>
      </c>
      <c r="BQ30" s="236">
        <v>2.5000000000000001E-2</v>
      </c>
      <c r="BR30" s="158"/>
      <c r="BS30" s="158"/>
      <c r="BT30" s="158"/>
      <c r="BU30" s="158"/>
      <c r="BV30" s="158"/>
      <c r="BW30" s="158"/>
      <c r="BX30" s="158"/>
      <c r="BY30" s="158"/>
      <c r="BZ30" s="158"/>
      <c r="CA30" s="158"/>
      <c r="CB30" s="158"/>
      <c r="CD30" s="241" t="s">
        <v>263</v>
      </c>
      <c r="CE30" s="169">
        <v>57.6</v>
      </c>
      <c r="CF30" s="169"/>
      <c r="CG30" s="235">
        <v>8.9999999999999993E-3</v>
      </c>
      <c r="CH30" s="236">
        <v>2.5000000000000001E-2</v>
      </c>
      <c r="CI30" s="158"/>
      <c r="CJ30" s="158"/>
      <c r="CK30" s="158"/>
      <c r="CL30" s="158"/>
      <c r="CM30" s="158"/>
      <c r="CN30" s="158"/>
      <c r="CO30" s="158"/>
      <c r="CP30" s="158"/>
      <c r="CQ30" s="158"/>
      <c r="CR30" s="158"/>
      <c r="CS30" s="158"/>
      <c r="CU30" s="241" t="s">
        <v>263</v>
      </c>
      <c r="CV30" s="169">
        <v>57.6</v>
      </c>
      <c r="CW30" s="235">
        <v>8.9999999999999993E-3</v>
      </c>
      <c r="CX30" s="236">
        <v>2.5000000000000001E-2</v>
      </c>
      <c r="CY30" s="158"/>
      <c r="CZ30" s="158"/>
      <c r="DA30" s="158"/>
      <c r="DB30" s="158"/>
      <c r="DC30" s="158"/>
      <c r="DD30" s="158"/>
      <c r="DE30" s="158"/>
      <c r="DF30" s="158"/>
      <c r="DG30" s="158"/>
      <c r="DH30" s="158"/>
      <c r="DI30" s="158"/>
    </row>
    <row r="31" spans="1:113" ht="16" thickBot="1" x14ac:dyDescent="0.25">
      <c r="A31" s="364"/>
      <c r="B31" s="242" t="s">
        <v>271</v>
      </c>
      <c r="C31" s="237">
        <v>53.5</v>
      </c>
      <c r="D31" s="238">
        <v>7.0000000000000001E-3</v>
      </c>
      <c r="E31" s="239"/>
      <c r="F31" s="239"/>
      <c r="G31" s="239"/>
      <c r="H31" s="239"/>
      <c r="I31" s="239"/>
      <c r="J31" s="239"/>
      <c r="K31" s="239"/>
      <c r="L31" s="239"/>
      <c r="M31" s="239"/>
      <c r="N31" s="239"/>
      <c r="O31" s="239"/>
      <c r="P31" s="239"/>
      <c r="R31" s="242" t="s">
        <v>271</v>
      </c>
      <c r="S31" s="237">
        <v>53.5</v>
      </c>
      <c r="T31" s="238">
        <v>7.0000000000000001E-3</v>
      </c>
      <c r="U31" s="239"/>
      <c r="V31" s="239"/>
      <c r="W31" s="239"/>
      <c r="X31" s="239"/>
      <c r="Y31" s="239"/>
      <c r="Z31" s="239"/>
      <c r="AA31" s="239"/>
      <c r="AB31" s="239"/>
      <c r="AC31" s="239"/>
      <c r="AD31" s="239"/>
      <c r="AE31" s="239"/>
      <c r="AF31" s="239"/>
      <c r="AH31" s="242" t="s">
        <v>271</v>
      </c>
      <c r="AI31" s="237">
        <v>53.5</v>
      </c>
      <c r="AJ31" s="238">
        <v>7.0000000000000001E-3</v>
      </c>
      <c r="AK31" s="239"/>
      <c r="AL31" s="239"/>
      <c r="AM31" s="239"/>
      <c r="AN31" s="239"/>
      <c r="AO31" s="239"/>
      <c r="AP31" s="239"/>
      <c r="AQ31" s="239"/>
      <c r="AR31" s="239"/>
      <c r="AS31" s="239"/>
      <c r="AT31" s="239"/>
      <c r="AU31" s="239"/>
      <c r="AV31" s="239"/>
      <c r="AX31" s="242" t="s">
        <v>271</v>
      </c>
      <c r="AY31" s="237">
        <v>53.5</v>
      </c>
      <c r="AZ31" s="238">
        <v>7.0000000000000001E-3</v>
      </c>
      <c r="BA31" s="239"/>
      <c r="BB31" s="239"/>
      <c r="BC31" s="239"/>
      <c r="BD31" s="239"/>
      <c r="BE31" s="239"/>
      <c r="BF31" s="239"/>
      <c r="BG31" s="239"/>
      <c r="BH31" s="239"/>
      <c r="BI31" s="239"/>
      <c r="BJ31" s="239"/>
      <c r="BK31" s="239"/>
      <c r="BL31" s="239"/>
      <c r="BN31" s="242" t="s">
        <v>271</v>
      </c>
      <c r="BO31" s="237">
        <v>53.5</v>
      </c>
      <c r="BP31" s="238">
        <v>7.0000000000000001E-3</v>
      </c>
      <c r="BQ31" s="239"/>
      <c r="BR31" s="239"/>
      <c r="BS31" s="239"/>
      <c r="BT31" s="239"/>
      <c r="BU31" s="239"/>
      <c r="BV31" s="239"/>
      <c r="BW31" s="239"/>
      <c r="BX31" s="239"/>
      <c r="BY31" s="239"/>
      <c r="BZ31" s="239"/>
      <c r="CA31" s="239"/>
      <c r="CB31" s="239"/>
      <c r="CD31" s="242" t="s">
        <v>271</v>
      </c>
      <c r="CE31" s="237">
        <v>53.5</v>
      </c>
      <c r="CF31" s="237"/>
      <c r="CG31" s="238">
        <v>7.0000000000000001E-3</v>
      </c>
      <c r="CH31" s="239"/>
      <c r="CI31" s="239"/>
      <c r="CJ31" s="239"/>
      <c r="CK31" s="239"/>
      <c r="CL31" s="239"/>
      <c r="CM31" s="239"/>
      <c r="CN31" s="239"/>
      <c r="CO31" s="239"/>
      <c r="CP31" s="239"/>
      <c r="CQ31" s="239"/>
      <c r="CR31" s="239"/>
      <c r="CS31" s="239"/>
      <c r="CU31" s="242" t="s">
        <v>271</v>
      </c>
      <c r="CV31" s="237">
        <v>53.5</v>
      </c>
      <c r="CW31" s="238">
        <v>7.0000000000000001E-3</v>
      </c>
      <c r="CX31" s="239"/>
      <c r="CY31" s="239"/>
      <c r="CZ31" s="239"/>
      <c r="DA31" s="239"/>
      <c r="DB31" s="239"/>
      <c r="DC31" s="239"/>
      <c r="DD31" s="239"/>
      <c r="DE31" s="239"/>
      <c r="DF31" s="239"/>
      <c r="DG31" s="239"/>
      <c r="DH31" s="239"/>
      <c r="DI31" s="239"/>
    </row>
    <row r="32" spans="1:113" ht="16" thickBot="1" x14ac:dyDescent="0.25"/>
    <row r="33" spans="1:113" x14ac:dyDescent="0.2">
      <c r="A33" s="362" t="s">
        <v>291</v>
      </c>
      <c r="B33" s="361" t="s">
        <v>274</v>
      </c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R33" s="361" t="s">
        <v>275</v>
      </c>
      <c r="S33" s="361"/>
      <c r="T33" s="361"/>
      <c r="U33" s="361"/>
      <c r="V33" s="361"/>
      <c r="W33" s="361"/>
      <c r="X33" s="361"/>
      <c r="Y33" s="361"/>
      <c r="Z33" s="361"/>
      <c r="AA33" s="361"/>
      <c r="AB33" s="361"/>
      <c r="AC33" s="361"/>
      <c r="AD33" s="361"/>
      <c r="AE33" s="361"/>
      <c r="AF33" s="361"/>
      <c r="AH33" s="361" t="s">
        <v>276</v>
      </c>
      <c r="AI33" s="361"/>
      <c r="AJ33" s="361"/>
      <c r="AK33" s="361"/>
      <c r="AL33" s="361"/>
      <c r="AM33" s="361"/>
      <c r="AN33" s="361"/>
      <c r="AO33" s="361"/>
      <c r="AP33" s="361"/>
      <c r="AQ33" s="361"/>
      <c r="AR33" s="361"/>
      <c r="AS33" s="361"/>
      <c r="AT33" s="361"/>
      <c r="AU33" s="361"/>
      <c r="AV33" s="361"/>
      <c r="AX33" s="361" t="s">
        <v>277</v>
      </c>
      <c r="AY33" s="361"/>
      <c r="AZ33" s="361"/>
      <c r="BA33" s="361"/>
      <c r="BB33" s="361"/>
      <c r="BC33" s="361"/>
      <c r="BD33" s="361"/>
      <c r="BE33" s="361"/>
      <c r="BF33" s="361"/>
      <c r="BG33" s="361"/>
      <c r="BH33" s="361"/>
      <c r="BI33" s="361"/>
      <c r="BJ33" s="361"/>
      <c r="BK33" s="361"/>
      <c r="BL33" s="361"/>
      <c r="BN33" s="361" t="s">
        <v>278</v>
      </c>
      <c r="BO33" s="361"/>
      <c r="BP33" s="361"/>
      <c r="BQ33" s="361"/>
      <c r="BR33" s="361"/>
      <c r="BS33" s="361"/>
      <c r="BT33" s="361"/>
      <c r="BU33" s="361"/>
      <c r="BV33" s="361"/>
      <c r="BW33" s="361"/>
      <c r="BX33" s="361"/>
      <c r="BY33" s="361"/>
      <c r="BZ33" s="361"/>
      <c r="CA33" s="361"/>
      <c r="CB33" s="361"/>
      <c r="CD33" s="361" t="s">
        <v>279</v>
      </c>
      <c r="CE33" s="361"/>
      <c r="CF33" s="361"/>
      <c r="CG33" s="361"/>
      <c r="CH33" s="361"/>
      <c r="CI33" s="361"/>
      <c r="CJ33" s="361"/>
      <c r="CK33" s="361"/>
      <c r="CL33" s="361"/>
      <c r="CM33" s="361"/>
      <c r="CN33" s="361"/>
      <c r="CO33" s="361"/>
      <c r="CP33" s="361"/>
      <c r="CQ33" s="361"/>
      <c r="CR33" s="361"/>
      <c r="CS33" s="361"/>
      <c r="CU33" s="361" t="s">
        <v>280</v>
      </c>
      <c r="CV33" s="361"/>
      <c r="CW33" s="361"/>
      <c r="CX33" s="361"/>
      <c r="CY33" s="361"/>
      <c r="CZ33" s="361"/>
      <c r="DA33" s="361"/>
      <c r="DB33" s="361"/>
      <c r="DC33" s="361"/>
      <c r="DD33" s="361"/>
      <c r="DE33" s="361"/>
      <c r="DF33" s="361"/>
      <c r="DG33" s="361"/>
      <c r="DH33" s="361"/>
      <c r="DI33" s="361"/>
    </row>
    <row r="34" spans="1:113" x14ac:dyDescent="0.2">
      <c r="A34" s="363"/>
      <c r="B34" s="240" t="s">
        <v>126</v>
      </c>
      <c r="C34" s="157" t="s">
        <v>281</v>
      </c>
      <c r="D34" s="157">
        <v>1</v>
      </c>
      <c r="E34" s="157">
        <v>2</v>
      </c>
      <c r="F34" s="157">
        <v>3</v>
      </c>
      <c r="G34" s="157">
        <v>4</v>
      </c>
      <c r="H34" s="157">
        <v>5</v>
      </c>
      <c r="I34" s="157">
        <v>6</v>
      </c>
      <c r="J34" s="157">
        <v>7</v>
      </c>
      <c r="K34" s="157">
        <v>8</v>
      </c>
      <c r="L34" s="157">
        <v>9</v>
      </c>
      <c r="M34" s="157">
        <v>10</v>
      </c>
      <c r="N34" s="157">
        <v>11</v>
      </c>
      <c r="O34" s="157">
        <v>12</v>
      </c>
      <c r="P34" s="157">
        <v>13</v>
      </c>
      <c r="R34" s="240" t="s">
        <v>126</v>
      </c>
      <c r="S34" s="157" t="s">
        <v>281</v>
      </c>
      <c r="T34" s="157">
        <v>2</v>
      </c>
      <c r="U34" s="157">
        <v>3</v>
      </c>
      <c r="V34" s="157">
        <v>4</v>
      </c>
      <c r="W34" s="157">
        <v>5</v>
      </c>
      <c r="X34" s="157">
        <v>6</v>
      </c>
      <c r="Y34" s="157">
        <v>7</v>
      </c>
      <c r="Z34" s="157">
        <v>8</v>
      </c>
      <c r="AA34" s="157">
        <v>9</v>
      </c>
      <c r="AB34" s="157">
        <v>10</v>
      </c>
      <c r="AC34" s="157">
        <v>11</v>
      </c>
      <c r="AD34" s="157">
        <v>12</v>
      </c>
      <c r="AE34" s="157">
        <v>13</v>
      </c>
      <c r="AF34" s="157">
        <v>14</v>
      </c>
      <c r="AH34" s="240" t="s">
        <v>126</v>
      </c>
      <c r="AI34" s="157" t="s">
        <v>281</v>
      </c>
      <c r="AJ34" s="157">
        <v>3</v>
      </c>
      <c r="AK34" s="157">
        <v>4</v>
      </c>
      <c r="AL34" s="157">
        <v>5</v>
      </c>
      <c r="AM34" s="157">
        <v>6</v>
      </c>
      <c r="AN34" s="157">
        <v>7</v>
      </c>
      <c r="AO34" s="157">
        <v>8</v>
      </c>
      <c r="AP34" s="157">
        <v>9</v>
      </c>
      <c r="AQ34" s="157">
        <v>10</v>
      </c>
      <c r="AR34" s="157">
        <v>11</v>
      </c>
      <c r="AS34" s="157">
        <v>12</v>
      </c>
      <c r="AT34" s="157">
        <v>13</v>
      </c>
      <c r="AU34" s="157">
        <v>14</v>
      </c>
      <c r="AV34" s="157">
        <v>15</v>
      </c>
      <c r="AX34" s="240" t="s">
        <v>126</v>
      </c>
      <c r="AY34" s="157" t="s">
        <v>281</v>
      </c>
      <c r="AZ34" s="157">
        <v>4</v>
      </c>
      <c r="BA34" s="157">
        <v>5</v>
      </c>
      <c r="BB34" s="157">
        <v>6</v>
      </c>
      <c r="BC34" s="157">
        <v>7</v>
      </c>
      <c r="BD34" s="157">
        <v>8</v>
      </c>
      <c r="BE34" s="157">
        <v>9</v>
      </c>
      <c r="BF34" s="157">
        <v>10</v>
      </c>
      <c r="BG34" s="157">
        <v>11</v>
      </c>
      <c r="BH34" s="157">
        <v>12</v>
      </c>
      <c r="BI34" s="157">
        <v>13</v>
      </c>
      <c r="BJ34" s="157">
        <v>14</v>
      </c>
      <c r="BK34" s="157">
        <v>15</v>
      </c>
      <c r="BL34" s="157">
        <v>16</v>
      </c>
      <c r="BN34" s="240" t="s">
        <v>126</v>
      </c>
      <c r="BO34" s="157" t="s">
        <v>281</v>
      </c>
      <c r="BP34" s="157">
        <v>4</v>
      </c>
      <c r="BQ34" s="157">
        <v>5</v>
      </c>
      <c r="BR34" s="157">
        <v>6</v>
      </c>
      <c r="BS34" s="157">
        <v>7</v>
      </c>
      <c r="BT34" s="157">
        <v>8</v>
      </c>
      <c r="BU34" s="157">
        <v>9</v>
      </c>
      <c r="BV34" s="157">
        <v>10</v>
      </c>
      <c r="BW34" s="157">
        <v>11</v>
      </c>
      <c r="BX34" s="157">
        <v>12</v>
      </c>
      <c r="BY34" s="157">
        <v>13</v>
      </c>
      <c r="BZ34" s="157">
        <v>14</v>
      </c>
      <c r="CA34" s="157">
        <v>15</v>
      </c>
      <c r="CB34" s="157">
        <v>16</v>
      </c>
      <c r="CD34" s="240" t="s">
        <v>126</v>
      </c>
      <c r="CE34" s="157" t="s">
        <v>281</v>
      </c>
      <c r="CF34" s="157" t="s">
        <v>282</v>
      </c>
      <c r="CG34" s="157">
        <v>1</v>
      </c>
      <c r="CH34" s="157">
        <v>2</v>
      </c>
      <c r="CI34" s="157">
        <v>3</v>
      </c>
      <c r="CJ34" s="157">
        <v>4</v>
      </c>
      <c r="CK34" s="157">
        <v>5</v>
      </c>
      <c r="CL34" s="157">
        <v>6</v>
      </c>
      <c r="CM34" s="157">
        <v>7</v>
      </c>
      <c r="CN34" s="157">
        <v>8</v>
      </c>
      <c r="CO34" s="157">
        <v>9</v>
      </c>
      <c r="CP34" s="157">
        <v>10</v>
      </c>
      <c r="CQ34" s="157">
        <v>11</v>
      </c>
      <c r="CR34" s="157">
        <v>12</v>
      </c>
      <c r="CS34" s="157">
        <v>13</v>
      </c>
      <c r="CU34" s="240" t="s">
        <v>126</v>
      </c>
      <c r="CV34" s="157" t="s">
        <v>281</v>
      </c>
      <c r="CW34" s="157">
        <v>1</v>
      </c>
      <c r="CX34" s="157">
        <v>2</v>
      </c>
      <c r="CY34" s="157">
        <v>3</v>
      </c>
      <c r="CZ34" s="157">
        <v>4</v>
      </c>
      <c r="DA34" s="157">
        <v>5</v>
      </c>
      <c r="DB34" s="157">
        <v>6</v>
      </c>
      <c r="DC34" s="157">
        <v>7</v>
      </c>
      <c r="DD34" s="157">
        <v>8</v>
      </c>
      <c r="DE34" s="157">
        <v>9</v>
      </c>
      <c r="DF34" s="157">
        <v>10</v>
      </c>
      <c r="DG34" s="157">
        <v>11</v>
      </c>
      <c r="DH34" s="157">
        <v>12</v>
      </c>
      <c r="DI34" s="157">
        <v>13</v>
      </c>
    </row>
    <row r="35" spans="1:113" x14ac:dyDescent="0.2">
      <c r="A35" s="363"/>
      <c r="B35" s="241" t="s">
        <v>283</v>
      </c>
      <c r="C35" s="158">
        <v>22.2</v>
      </c>
      <c r="D35" s="187">
        <v>7.0000000000000001E-3</v>
      </c>
      <c r="E35" s="168">
        <v>1.7999999999999999E-2</v>
      </c>
      <c r="F35" s="191">
        <v>2.5999999999999999E-2</v>
      </c>
      <c r="G35" s="192">
        <v>3.4000000000000002E-2</v>
      </c>
      <c r="H35" s="185">
        <v>3.7999999999999999E-2</v>
      </c>
      <c r="I35" s="184">
        <v>3.9E-2</v>
      </c>
      <c r="J35" s="193">
        <v>3.5999999999999997E-2</v>
      </c>
      <c r="K35" s="167">
        <v>3.3000000000000002E-2</v>
      </c>
      <c r="L35" s="194">
        <v>3.2000000000000001E-2</v>
      </c>
      <c r="M35" s="195">
        <v>3.1E-2</v>
      </c>
      <c r="N35" s="162">
        <v>0.03</v>
      </c>
      <c r="O35" s="175">
        <v>0.03</v>
      </c>
      <c r="P35" s="196">
        <v>2.9000000000000001E-2</v>
      </c>
      <c r="R35" s="241" t="s">
        <v>283</v>
      </c>
      <c r="S35" s="158">
        <v>22.2</v>
      </c>
      <c r="T35" s="187">
        <v>7.0000000000000001E-3</v>
      </c>
      <c r="U35" s="168">
        <v>1.7999999999999999E-2</v>
      </c>
      <c r="V35" s="191">
        <v>2.5999999999999999E-2</v>
      </c>
      <c r="W35" s="192">
        <v>3.4000000000000002E-2</v>
      </c>
      <c r="X35" s="185">
        <v>3.7999999999999999E-2</v>
      </c>
      <c r="Y35" s="184">
        <v>3.9E-2</v>
      </c>
      <c r="Z35" s="193">
        <v>3.5999999999999997E-2</v>
      </c>
      <c r="AA35" s="167">
        <v>3.3000000000000002E-2</v>
      </c>
      <c r="AB35" s="194">
        <v>3.2000000000000001E-2</v>
      </c>
      <c r="AC35" s="195">
        <v>3.1E-2</v>
      </c>
      <c r="AD35" s="162">
        <v>0.03</v>
      </c>
      <c r="AE35" s="175">
        <v>0.03</v>
      </c>
      <c r="AF35" s="196">
        <v>2.9000000000000001E-2</v>
      </c>
      <c r="AH35" s="241" t="s">
        <v>283</v>
      </c>
      <c r="AI35" s="158">
        <v>22.2</v>
      </c>
      <c r="AJ35" s="187">
        <v>7.0000000000000001E-3</v>
      </c>
      <c r="AK35" s="168">
        <v>1.7999999999999999E-2</v>
      </c>
      <c r="AL35" s="191">
        <v>2.5999999999999999E-2</v>
      </c>
      <c r="AM35" s="192">
        <v>3.4000000000000002E-2</v>
      </c>
      <c r="AN35" s="185">
        <v>3.7999999999999999E-2</v>
      </c>
      <c r="AO35" s="184">
        <v>3.9E-2</v>
      </c>
      <c r="AP35" s="193">
        <v>3.5999999999999997E-2</v>
      </c>
      <c r="AQ35" s="167">
        <v>3.3000000000000002E-2</v>
      </c>
      <c r="AR35" s="194">
        <v>3.2000000000000001E-2</v>
      </c>
      <c r="AS35" s="195">
        <v>3.1E-2</v>
      </c>
      <c r="AT35" s="162">
        <v>0.03</v>
      </c>
      <c r="AU35" s="175">
        <v>0.03</v>
      </c>
      <c r="AV35" s="196">
        <v>2.9000000000000001E-2</v>
      </c>
      <c r="AX35" s="241" t="s">
        <v>283</v>
      </c>
      <c r="AY35" s="158">
        <v>22.2</v>
      </c>
      <c r="AZ35" s="187">
        <v>7.0000000000000001E-3</v>
      </c>
      <c r="BA35" s="168">
        <v>1.7999999999999999E-2</v>
      </c>
      <c r="BB35" s="191">
        <v>2.5999999999999999E-2</v>
      </c>
      <c r="BC35" s="192">
        <v>3.4000000000000002E-2</v>
      </c>
      <c r="BD35" s="185">
        <v>3.7999999999999999E-2</v>
      </c>
      <c r="BE35" s="184">
        <v>3.9E-2</v>
      </c>
      <c r="BF35" s="193">
        <v>3.5999999999999997E-2</v>
      </c>
      <c r="BG35" s="167">
        <v>3.3000000000000002E-2</v>
      </c>
      <c r="BH35" s="194">
        <v>3.2000000000000001E-2</v>
      </c>
      <c r="BI35" s="195">
        <v>3.1E-2</v>
      </c>
      <c r="BJ35" s="162">
        <v>0.03</v>
      </c>
      <c r="BK35" s="175">
        <v>0.03</v>
      </c>
      <c r="BL35" s="196">
        <v>2.9000000000000001E-2</v>
      </c>
      <c r="BN35" s="241" t="s">
        <v>283</v>
      </c>
      <c r="BO35" s="158">
        <v>22.2</v>
      </c>
      <c r="BP35" s="187">
        <v>7.0000000000000001E-3</v>
      </c>
      <c r="BQ35" s="168">
        <v>1.7999999999999999E-2</v>
      </c>
      <c r="BR35" s="191">
        <v>2.5999999999999999E-2</v>
      </c>
      <c r="BS35" s="192">
        <v>3.4000000000000002E-2</v>
      </c>
      <c r="BT35" s="185">
        <v>3.7999999999999999E-2</v>
      </c>
      <c r="BU35" s="184">
        <v>3.9E-2</v>
      </c>
      <c r="BV35" s="193">
        <v>3.5999999999999997E-2</v>
      </c>
      <c r="BW35" s="167">
        <v>3.3000000000000002E-2</v>
      </c>
      <c r="BX35" s="194">
        <v>3.2000000000000001E-2</v>
      </c>
      <c r="BY35" s="195">
        <v>3.1E-2</v>
      </c>
      <c r="BZ35" s="162">
        <v>0.03</v>
      </c>
      <c r="CA35" s="175">
        <v>0.03</v>
      </c>
      <c r="CB35" s="196">
        <v>2.9000000000000001E-2</v>
      </c>
      <c r="CD35" s="241" t="s">
        <v>283</v>
      </c>
      <c r="CE35" s="158">
        <v>22.2</v>
      </c>
      <c r="CF35" s="158"/>
      <c r="CG35" s="187">
        <v>7.0000000000000001E-3</v>
      </c>
      <c r="CH35" s="168">
        <v>1.7999999999999999E-2</v>
      </c>
      <c r="CI35" s="191">
        <v>2.5999999999999999E-2</v>
      </c>
      <c r="CJ35" s="192">
        <v>3.4000000000000002E-2</v>
      </c>
      <c r="CK35" s="185">
        <v>3.7999999999999999E-2</v>
      </c>
      <c r="CL35" s="184">
        <v>3.9E-2</v>
      </c>
      <c r="CM35" s="193">
        <v>3.5999999999999997E-2</v>
      </c>
      <c r="CN35" s="167">
        <v>3.3000000000000002E-2</v>
      </c>
      <c r="CO35" s="194">
        <v>3.2000000000000001E-2</v>
      </c>
      <c r="CP35" s="195">
        <v>3.1E-2</v>
      </c>
      <c r="CQ35" s="162">
        <v>0.03</v>
      </c>
      <c r="CR35" s="175">
        <v>0.03</v>
      </c>
      <c r="CS35" s="196">
        <v>2.9000000000000001E-2</v>
      </c>
      <c r="CU35" s="241" t="s">
        <v>283</v>
      </c>
      <c r="CV35" s="158">
        <v>22.2</v>
      </c>
      <c r="CW35" s="187">
        <v>7.0000000000000001E-3</v>
      </c>
      <c r="CX35" s="168">
        <v>1.7999999999999999E-2</v>
      </c>
      <c r="CY35" s="191">
        <v>2.5999999999999999E-2</v>
      </c>
      <c r="CZ35" s="192">
        <v>3.4000000000000002E-2</v>
      </c>
      <c r="DA35" s="185">
        <v>3.7999999999999999E-2</v>
      </c>
      <c r="DB35" s="184">
        <v>3.9E-2</v>
      </c>
      <c r="DC35" s="193">
        <v>3.5999999999999997E-2</v>
      </c>
      <c r="DD35" s="167">
        <v>3.3000000000000002E-2</v>
      </c>
      <c r="DE35" s="194">
        <v>3.2000000000000001E-2</v>
      </c>
      <c r="DF35" s="195">
        <v>3.1E-2</v>
      </c>
      <c r="DG35" s="162">
        <v>0.03</v>
      </c>
      <c r="DH35" s="175">
        <v>0.03</v>
      </c>
      <c r="DI35" s="196">
        <v>2.9000000000000001E-2</v>
      </c>
    </row>
    <row r="36" spans="1:113" x14ac:dyDescent="0.2">
      <c r="A36" s="363"/>
      <c r="B36" s="241" t="s">
        <v>284</v>
      </c>
      <c r="C36" s="158">
        <v>21.8</v>
      </c>
      <c r="D36" s="197">
        <v>6.0000000000000001E-3</v>
      </c>
      <c r="E36" s="198">
        <v>0.02</v>
      </c>
      <c r="F36" s="199">
        <v>2.9000000000000001E-2</v>
      </c>
      <c r="G36" s="200">
        <v>3.4000000000000002E-2</v>
      </c>
      <c r="H36" s="201">
        <v>3.7999999999999999E-2</v>
      </c>
      <c r="I36" s="202">
        <v>3.7999999999999999E-2</v>
      </c>
      <c r="J36" s="166">
        <v>3.5000000000000003E-2</v>
      </c>
      <c r="K36" s="186">
        <v>3.3000000000000002E-2</v>
      </c>
      <c r="L36" s="159">
        <v>3.1E-2</v>
      </c>
      <c r="M36" s="203">
        <v>3.1E-2</v>
      </c>
      <c r="N36" s="204">
        <v>0.03</v>
      </c>
      <c r="O36" s="205">
        <v>2.9000000000000001E-2</v>
      </c>
      <c r="P36" s="158"/>
      <c r="R36" s="241" t="s">
        <v>284</v>
      </c>
      <c r="S36" s="158">
        <v>21.8</v>
      </c>
      <c r="T36" s="197">
        <v>6.0000000000000001E-3</v>
      </c>
      <c r="U36" s="198">
        <v>0.02</v>
      </c>
      <c r="V36" s="199">
        <v>2.9000000000000001E-2</v>
      </c>
      <c r="W36" s="200">
        <v>3.4000000000000002E-2</v>
      </c>
      <c r="X36" s="201">
        <v>3.7999999999999999E-2</v>
      </c>
      <c r="Y36" s="202">
        <v>3.7999999999999999E-2</v>
      </c>
      <c r="Z36" s="166">
        <v>3.5000000000000003E-2</v>
      </c>
      <c r="AA36" s="186">
        <v>3.3000000000000002E-2</v>
      </c>
      <c r="AB36" s="159">
        <v>3.1E-2</v>
      </c>
      <c r="AC36" s="203">
        <v>3.1E-2</v>
      </c>
      <c r="AD36" s="204">
        <v>0.03</v>
      </c>
      <c r="AE36" s="205">
        <v>2.9000000000000001E-2</v>
      </c>
      <c r="AF36" s="158"/>
      <c r="AH36" s="241" t="s">
        <v>284</v>
      </c>
      <c r="AI36" s="158">
        <v>21.8</v>
      </c>
      <c r="AJ36" s="197">
        <v>6.0000000000000001E-3</v>
      </c>
      <c r="AK36" s="198">
        <v>0.02</v>
      </c>
      <c r="AL36" s="199">
        <v>2.9000000000000001E-2</v>
      </c>
      <c r="AM36" s="200">
        <v>3.4000000000000002E-2</v>
      </c>
      <c r="AN36" s="201">
        <v>3.7999999999999999E-2</v>
      </c>
      <c r="AO36" s="202">
        <v>3.7999999999999999E-2</v>
      </c>
      <c r="AP36" s="166">
        <v>3.5000000000000003E-2</v>
      </c>
      <c r="AQ36" s="186">
        <v>3.3000000000000002E-2</v>
      </c>
      <c r="AR36" s="159">
        <v>3.1E-2</v>
      </c>
      <c r="AS36" s="203">
        <v>3.1E-2</v>
      </c>
      <c r="AT36" s="204">
        <v>0.03</v>
      </c>
      <c r="AU36" s="205">
        <v>2.9000000000000001E-2</v>
      </c>
      <c r="AV36" s="158"/>
      <c r="AX36" s="241" t="s">
        <v>284</v>
      </c>
      <c r="AY36" s="158">
        <v>21.8</v>
      </c>
      <c r="AZ36" s="197">
        <v>6.0000000000000001E-3</v>
      </c>
      <c r="BA36" s="198">
        <v>0.02</v>
      </c>
      <c r="BB36" s="199">
        <v>2.9000000000000001E-2</v>
      </c>
      <c r="BC36" s="200">
        <v>3.4000000000000002E-2</v>
      </c>
      <c r="BD36" s="201">
        <v>3.7999999999999999E-2</v>
      </c>
      <c r="BE36" s="202">
        <v>3.7999999999999999E-2</v>
      </c>
      <c r="BF36" s="166">
        <v>3.5000000000000003E-2</v>
      </c>
      <c r="BG36" s="186">
        <v>3.3000000000000002E-2</v>
      </c>
      <c r="BH36" s="159">
        <v>3.1E-2</v>
      </c>
      <c r="BI36" s="203">
        <v>3.1E-2</v>
      </c>
      <c r="BJ36" s="204">
        <v>0.03</v>
      </c>
      <c r="BK36" s="205">
        <v>2.9000000000000001E-2</v>
      </c>
      <c r="BL36" s="158"/>
      <c r="BN36" s="241" t="s">
        <v>284</v>
      </c>
      <c r="BO36" s="158">
        <v>21.8</v>
      </c>
      <c r="BP36" s="197">
        <v>6.0000000000000001E-3</v>
      </c>
      <c r="BQ36" s="198">
        <v>0.02</v>
      </c>
      <c r="BR36" s="199">
        <v>2.9000000000000001E-2</v>
      </c>
      <c r="BS36" s="200">
        <v>3.4000000000000002E-2</v>
      </c>
      <c r="BT36" s="201">
        <v>3.7999999999999999E-2</v>
      </c>
      <c r="BU36" s="202">
        <v>3.7999999999999999E-2</v>
      </c>
      <c r="BV36" s="166">
        <v>3.5000000000000003E-2</v>
      </c>
      <c r="BW36" s="186">
        <v>3.3000000000000002E-2</v>
      </c>
      <c r="BX36" s="159">
        <v>3.1E-2</v>
      </c>
      <c r="BY36" s="203">
        <v>3.1E-2</v>
      </c>
      <c r="BZ36" s="204">
        <v>0.03</v>
      </c>
      <c r="CA36" s="205">
        <v>2.9000000000000001E-2</v>
      </c>
      <c r="CB36" s="158"/>
      <c r="CD36" s="241" t="s">
        <v>284</v>
      </c>
      <c r="CE36" s="158">
        <v>21.8</v>
      </c>
      <c r="CF36" s="158"/>
      <c r="CG36" s="197">
        <v>6.0000000000000001E-3</v>
      </c>
      <c r="CH36" s="198">
        <v>0.02</v>
      </c>
      <c r="CI36" s="199">
        <v>2.9000000000000001E-2</v>
      </c>
      <c r="CJ36" s="200">
        <v>3.4000000000000002E-2</v>
      </c>
      <c r="CK36" s="201">
        <v>3.7999999999999999E-2</v>
      </c>
      <c r="CL36" s="202">
        <v>3.7999999999999999E-2</v>
      </c>
      <c r="CM36" s="166">
        <v>3.5000000000000003E-2</v>
      </c>
      <c r="CN36" s="186">
        <v>3.3000000000000002E-2</v>
      </c>
      <c r="CO36" s="159">
        <v>3.1E-2</v>
      </c>
      <c r="CP36" s="203">
        <v>3.1E-2</v>
      </c>
      <c r="CQ36" s="204">
        <v>0.03</v>
      </c>
      <c r="CR36" s="205">
        <v>2.9000000000000001E-2</v>
      </c>
      <c r="CS36" s="158"/>
      <c r="CU36" s="241" t="s">
        <v>284</v>
      </c>
      <c r="CV36" s="158">
        <v>21.8</v>
      </c>
      <c r="CW36" s="197">
        <v>6.0000000000000001E-3</v>
      </c>
      <c r="CX36" s="198">
        <v>0.02</v>
      </c>
      <c r="CY36" s="199">
        <v>2.9000000000000001E-2</v>
      </c>
      <c r="CZ36" s="200">
        <v>3.4000000000000002E-2</v>
      </c>
      <c r="DA36" s="201">
        <v>3.7999999999999999E-2</v>
      </c>
      <c r="DB36" s="202">
        <v>3.7999999999999999E-2</v>
      </c>
      <c r="DC36" s="166">
        <v>3.5000000000000003E-2</v>
      </c>
      <c r="DD36" s="186">
        <v>3.3000000000000002E-2</v>
      </c>
      <c r="DE36" s="159">
        <v>3.1E-2</v>
      </c>
      <c r="DF36" s="203">
        <v>3.1E-2</v>
      </c>
      <c r="DG36" s="204">
        <v>0.03</v>
      </c>
      <c r="DH36" s="205">
        <v>2.9000000000000001E-2</v>
      </c>
      <c r="DI36" s="158"/>
    </row>
    <row r="37" spans="1:113" x14ac:dyDescent="0.2">
      <c r="A37" s="363"/>
      <c r="B37" s="241" t="s">
        <v>285</v>
      </c>
      <c r="C37" s="158">
        <v>27</v>
      </c>
      <c r="D37" s="206">
        <v>6.0000000000000001E-3</v>
      </c>
      <c r="E37" s="179">
        <v>2.1000000000000001E-2</v>
      </c>
      <c r="F37" s="163">
        <v>2.9000000000000001E-2</v>
      </c>
      <c r="G37" s="166">
        <v>3.5000000000000003E-2</v>
      </c>
      <c r="H37" s="207">
        <v>4.1000000000000002E-2</v>
      </c>
      <c r="I37" s="181">
        <v>4.2000000000000003E-2</v>
      </c>
      <c r="J37" s="170">
        <v>0.04</v>
      </c>
      <c r="K37" s="208">
        <v>3.6999999999999998E-2</v>
      </c>
      <c r="L37" s="161">
        <v>3.5999999999999997E-2</v>
      </c>
      <c r="M37" s="165">
        <v>3.4000000000000002E-2</v>
      </c>
      <c r="N37" s="167">
        <v>3.3000000000000002E-2</v>
      </c>
      <c r="O37" s="158"/>
      <c r="P37" s="158"/>
      <c r="R37" s="241" t="s">
        <v>285</v>
      </c>
      <c r="S37" s="158">
        <v>27</v>
      </c>
      <c r="T37" s="206">
        <v>6.0000000000000001E-3</v>
      </c>
      <c r="U37" s="179">
        <v>2.1000000000000001E-2</v>
      </c>
      <c r="V37" s="163">
        <v>2.9000000000000001E-2</v>
      </c>
      <c r="W37" s="166">
        <v>3.5000000000000003E-2</v>
      </c>
      <c r="X37" s="207">
        <v>4.1000000000000002E-2</v>
      </c>
      <c r="Y37" s="181">
        <v>4.2000000000000003E-2</v>
      </c>
      <c r="Z37" s="170">
        <v>0.04</v>
      </c>
      <c r="AA37" s="208">
        <v>3.6999999999999998E-2</v>
      </c>
      <c r="AB37" s="161">
        <v>3.5999999999999997E-2</v>
      </c>
      <c r="AC37" s="165">
        <v>3.4000000000000002E-2</v>
      </c>
      <c r="AD37" s="167">
        <v>3.3000000000000002E-2</v>
      </c>
      <c r="AE37" s="158"/>
      <c r="AF37" s="158"/>
      <c r="AH37" s="241" t="s">
        <v>285</v>
      </c>
      <c r="AI37" s="158">
        <v>27</v>
      </c>
      <c r="AJ37" s="206">
        <v>6.0000000000000001E-3</v>
      </c>
      <c r="AK37" s="179">
        <v>2.1000000000000001E-2</v>
      </c>
      <c r="AL37" s="163">
        <v>2.9000000000000001E-2</v>
      </c>
      <c r="AM37" s="166">
        <v>3.5000000000000003E-2</v>
      </c>
      <c r="AN37" s="207">
        <v>4.1000000000000002E-2</v>
      </c>
      <c r="AO37" s="181">
        <v>4.2000000000000003E-2</v>
      </c>
      <c r="AP37" s="170">
        <v>0.04</v>
      </c>
      <c r="AQ37" s="208">
        <v>3.6999999999999998E-2</v>
      </c>
      <c r="AR37" s="161">
        <v>3.5999999999999997E-2</v>
      </c>
      <c r="AS37" s="165">
        <v>3.4000000000000002E-2</v>
      </c>
      <c r="AT37" s="167">
        <v>3.3000000000000002E-2</v>
      </c>
      <c r="AU37" s="158"/>
      <c r="AV37" s="158"/>
      <c r="AX37" s="241" t="s">
        <v>285</v>
      </c>
      <c r="AY37" s="158">
        <v>27</v>
      </c>
      <c r="AZ37" s="206">
        <v>6.0000000000000001E-3</v>
      </c>
      <c r="BA37" s="179">
        <v>2.1000000000000001E-2</v>
      </c>
      <c r="BB37" s="163">
        <v>2.9000000000000001E-2</v>
      </c>
      <c r="BC37" s="166">
        <v>3.5000000000000003E-2</v>
      </c>
      <c r="BD37" s="207">
        <v>4.1000000000000002E-2</v>
      </c>
      <c r="BE37" s="181">
        <v>4.2000000000000003E-2</v>
      </c>
      <c r="BF37" s="170">
        <v>0.04</v>
      </c>
      <c r="BG37" s="208">
        <v>3.6999999999999998E-2</v>
      </c>
      <c r="BH37" s="161">
        <v>3.5999999999999997E-2</v>
      </c>
      <c r="BI37" s="165">
        <v>3.4000000000000002E-2</v>
      </c>
      <c r="BJ37" s="167">
        <v>3.3000000000000002E-2</v>
      </c>
      <c r="BK37" s="158"/>
      <c r="BL37" s="158"/>
      <c r="BN37" s="241" t="s">
        <v>285</v>
      </c>
      <c r="BO37" s="158">
        <v>27</v>
      </c>
      <c r="BP37" s="206">
        <v>6.0000000000000001E-3</v>
      </c>
      <c r="BQ37" s="179">
        <v>2.1000000000000001E-2</v>
      </c>
      <c r="BR37" s="163">
        <v>2.9000000000000001E-2</v>
      </c>
      <c r="BS37" s="166">
        <v>3.5000000000000003E-2</v>
      </c>
      <c r="BT37" s="207">
        <v>4.1000000000000002E-2</v>
      </c>
      <c r="BU37" s="181">
        <v>4.2000000000000003E-2</v>
      </c>
      <c r="BV37" s="170">
        <v>0.04</v>
      </c>
      <c r="BW37" s="208">
        <v>3.6999999999999998E-2</v>
      </c>
      <c r="BX37" s="161">
        <v>3.5999999999999997E-2</v>
      </c>
      <c r="BY37" s="165">
        <v>3.4000000000000002E-2</v>
      </c>
      <c r="BZ37" s="167">
        <v>3.3000000000000002E-2</v>
      </c>
      <c r="CA37" s="158"/>
      <c r="CB37" s="158"/>
      <c r="CD37" s="241" t="s">
        <v>285</v>
      </c>
      <c r="CE37" s="158">
        <v>27</v>
      </c>
      <c r="CF37" s="158"/>
      <c r="CG37" s="206">
        <v>6.0000000000000001E-3</v>
      </c>
      <c r="CH37" s="179">
        <v>2.1000000000000001E-2</v>
      </c>
      <c r="CI37" s="163">
        <v>2.9000000000000001E-2</v>
      </c>
      <c r="CJ37" s="166">
        <v>3.5000000000000003E-2</v>
      </c>
      <c r="CK37" s="207">
        <v>4.1000000000000002E-2</v>
      </c>
      <c r="CL37" s="181">
        <v>4.2000000000000003E-2</v>
      </c>
      <c r="CM37" s="170">
        <v>0.04</v>
      </c>
      <c r="CN37" s="208">
        <v>3.6999999999999998E-2</v>
      </c>
      <c r="CO37" s="161">
        <v>3.5999999999999997E-2</v>
      </c>
      <c r="CP37" s="165">
        <v>3.4000000000000002E-2</v>
      </c>
      <c r="CQ37" s="167">
        <v>3.3000000000000002E-2</v>
      </c>
      <c r="CR37" s="158"/>
      <c r="CS37" s="158"/>
      <c r="CU37" s="241" t="s">
        <v>285</v>
      </c>
      <c r="CV37" s="158">
        <v>27</v>
      </c>
      <c r="CW37" s="206">
        <v>6.0000000000000001E-3</v>
      </c>
      <c r="CX37" s="179">
        <v>2.1000000000000001E-2</v>
      </c>
      <c r="CY37" s="163">
        <v>2.9000000000000001E-2</v>
      </c>
      <c r="CZ37" s="166">
        <v>3.5000000000000003E-2</v>
      </c>
      <c r="DA37" s="207">
        <v>4.1000000000000002E-2</v>
      </c>
      <c r="DB37" s="181">
        <v>4.2000000000000003E-2</v>
      </c>
      <c r="DC37" s="170">
        <v>0.04</v>
      </c>
      <c r="DD37" s="208">
        <v>3.6999999999999998E-2</v>
      </c>
      <c r="DE37" s="161">
        <v>3.5999999999999997E-2</v>
      </c>
      <c r="DF37" s="165">
        <v>3.4000000000000002E-2</v>
      </c>
      <c r="DG37" s="167">
        <v>3.3000000000000002E-2</v>
      </c>
      <c r="DH37" s="158"/>
      <c r="DI37" s="158"/>
    </row>
    <row r="38" spans="1:113" x14ac:dyDescent="0.2">
      <c r="A38" s="363"/>
      <c r="B38" s="241" t="s">
        <v>286</v>
      </c>
      <c r="C38" s="169">
        <v>27.5</v>
      </c>
      <c r="D38" s="177">
        <v>6.0000000000000001E-3</v>
      </c>
      <c r="E38" s="198">
        <v>0.02</v>
      </c>
      <c r="F38" s="209">
        <v>3.2000000000000001E-2</v>
      </c>
      <c r="G38" s="182">
        <v>0.04</v>
      </c>
      <c r="H38" s="172">
        <v>4.2999999999999997E-2</v>
      </c>
      <c r="I38" s="210">
        <v>4.2999999999999997E-2</v>
      </c>
      <c r="J38" s="211">
        <v>4.1000000000000002E-2</v>
      </c>
      <c r="K38" s="201">
        <v>3.7999999999999999E-2</v>
      </c>
      <c r="L38" s="174">
        <v>3.6999999999999998E-2</v>
      </c>
      <c r="M38" s="166">
        <v>3.5000000000000003E-2</v>
      </c>
      <c r="N38" s="158"/>
      <c r="O38" s="158"/>
      <c r="P38" s="158"/>
      <c r="R38" s="241" t="s">
        <v>286</v>
      </c>
      <c r="S38" s="169">
        <v>27.5</v>
      </c>
      <c r="T38" s="177">
        <v>6.0000000000000001E-3</v>
      </c>
      <c r="U38" s="198">
        <v>0.02</v>
      </c>
      <c r="V38" s="209">
        <v>3.2000000000000001E-2</v>
      </c>
      <c r="W38" s="182">
        <v>0.04</v>
      </c>
      <c r="X38" s="172">
        <v>4.2999999999999997E-2</v>
      </c>
      <c r="Y38" s="210">
        <v>4.2999999999999997E-2</v>
      </c>
      <c r="Z38" s="211">
        <v>4.1000000000000002E-2</v>
      </c>
      <c r="AA38" s="201">
        <v>3.7999999999999999E-2</v>
      </c>
      <c r="AB38" s="174">
        <v>3.6999999999999998E-2</v>
      </c>
      <c r="AC38" s="166">
        <v>3.5000000000000003E-2</v>
      </c>
      <c r="AD38" s="158"/>
      <c r="AE38" s="158"/>
      <c r="AF38" s="158"/>
      <c r="AH38" s="241" t="s">
        <v>286</v>
      </c>
      <c r="AI38" s="169">
        <v>27.5</v>
      </c>
      <c r="AJ38" s="177">
        <v>6.0000000000000001E-3</v>
      </c>
      <c r="AK38" s="198">
        <v>0.02</v>
      </c>
      <c r="AL38" s="209">
        <v>3.2000000000000001E-2</v>
      </c>
      <c r="AM38" s="182">
        <v>0.04</v>
      </c>
      <c r="AN38" s="172">
        <v>4.2999999999999997E-2</v>
      </c>
      <c r="AO38" s="210">
        <v>4.2999999999999997E-2</v>
      </c>
      <c r="AP38" s="211">
        <v>4.1000000000000002E-2</v>
      </c>
      <c r="AQ38" s="201">
        <v>3.7999999999999999E-2</v>
      </c>
      <c r="AR38" s="174">
        <v>3.6999999999999998E-2</v>
      </c>
      <c r="AS38" s="166">
        <v>3.5000000000000003E-2</v>
      </c>
      <c r="AT38" s="158"/>
      <c r="AU38" s="158"/>
      <c r="AV38" s="158"/>
      <c r="AX38" s="241" t="s">
        <v>286</v>
      </c>
      <c r="AY38" s="169">
        <v>27.5</v>
      </c>
      <c r="AZ38" s="177">
        <v>6.0000000000000001E-3</v>
      </c>
      <c r="BA38" s="198">
        <v>0.02</v>
      </c>
      <c r="BB38" s="209">
        <v>3.2000000000000001E-2</v>
      </c>
      <c r="BC38" s="182">
        <v>0.04</v>
      </c>
      <c r="BD38" s="172">
        <v>4.2999999999999997E-2</v>
      </c>
      <c r="BE38" s="210">
        <v>4.2999999999999997E-2</v>
      </c>
      <c r="BF38" s="211">
        <v>4.1000000000000002E-2</v>
      </c>
      <c r="BG38" s="201">
        <v>3.7999999999999999E-2</v>
      </c>
      <c r="BH38" s="174">
        <v>3.6999999999999998E-2</v>
      </c>
      <c r="BI38" s="166">
        <v>3.5000000000000003E-2</v>
      </c>
      <c r="BJ38" s="158"/>
      <c r="BK38" s="158"/>
      <c r="BL38" s="158"/>
      <c r="BN38" s="241" t="s">
        <v>286</v>
      </c>
      <c r="BO38" s="169">
        <v>27.5</v>
      </c>
      <c r="BP38" s="177">
        <v>6.0000000000000001E-3</v>
      </c>
      <c r="BQ38" s="198">
        <v>0.02</v>
      </c>
      <c r="BR38" s="209">
        <v>3.2000000000000001E-2</v>
      </c>
      <c r="BS38" s="182">
        <v>0.04</v>
      </c>
      <c r="BT38" s="172">
        <v>4.2999999999999997E-2</v>
      </c>
      <c r="BU38" s="210">
        <v>4.2999999999999997E-2</v>
      </c>
      <c r="BV38" s="211">
        <v>4.1000000000000002E-2</v>
      </c>
      <c r="BW38" s="201">
        <v>3.7999999999999999E-2</v>
      </c>
      <c r="BX38" s="174">
        <v>3.6999999999999998E-2</v>
      </c>
      <c r="BY38" s="166">
        <v>3.5000000000000003E-2</v>
      </c>
      <c r="BZ38" s="158"/>
      <c r="CA38" s="158"/>
      <c r="CB38" s="158"/>
      <c r="CD38" s="241" t="s">
        <v>286</v>
      </c>
      <c r="CE38" s="169">
        <v>27.5</v>
      </c>
      <c r="CF38" s="169"/>
      <c r="CG38" s="177">
        <v>6.0000000000000001E-3</v>
      </c>
      <c r="CH38" s="198">
        <v>0.02</v>
      </c>
      <c r="CI38" s="209">
        <v>3.2000000000000001E-2</v>
      </c>
      <c r="CJ38" s="182">
        <v>0.04</v>
      </c>
      <c r="CK38" s="172">
        <v>4.2999999999999997E-2</v>
      </c>
      <c r="CL38" s="210">
        <v>4.2999999999999997E-2</v>
      </c>
      <c r="CM38" s="211">
        <v>4.1000000000000002E-2</v>
      </c>
      <c r="CN38" s="201">
        <v>3.7999999999999999E-2</v>
      </c>
      <c r="CO38" s="174">
        <v>3.6999999999999998E-2</v>
      </c>
      <c r="CP38" s="166">
        <v>3.5000000000000003E-2</v>
      </c>
      <c r="CQ38" s="158"/>
      <c r="CR38" s="158"/>
      <c r="CS38" s="158"/>
      <c r="CU38" s="241" t="s">
        <v>286</v>
      </c>
      <c r="CV38" s="169">
        <v>27.5</v>
      </c>
      <c r="CW38" s="177">
        <v>6.0000000000000001E-3</v>
      </c>
      <c r="CX38" s="198">
        <v>0.02</v>
      </c>
      <c r="CY38" s="209">
        <v>3.2000000000000001E-2</v>
      </c>
      <c r="CZ38" s="182">
        <v>0.04</v>
      </c>
      <c r="DA38" s="172">
        <v>4.2999999999999997E-2</v>
      </c>
      <c r="DB38" s="210">
        <v>4.2999999999999997E-2</v>
      </c>
      <c r="DC38" s="211">
        <v>4.1000000000000002E-2</v>
      </c>
      <c r="DD38" s="201">
        <v>3.7999999999999999E-2</v>
      </c>
      <c r="DE38" s="174">
        <v>3.6999999999999998E-2</v>
      </c>
      <c r="DF38" s="166">
        <v>3.5000000000000003E-2</v>
      </c>
      <c r="DG38" s="158"/>
      <c r="DH38" s="158"/>
      <c r="DI38" s="158"/>
    </row>
    <row r="39" spans="1:113" x14ac:dyDescent="0.2">
      <c r="A39" s="363"/>
      <c r="B39" s="241" t="s">
        <v>287</v>
      </c>
      <c r="C39" s="169">
        <v>31.8</v>
      </c>
      <c r="D39" s="188">
        <v>7.0000000000000001E-3</v>
      </c>
      <c r="E39" s="212">
        <v>2.3E-2</v>
      </c>
      <c r="F39" s="190">
        <v>3.3000000000000002E-2</v>
      </c>
      <c r="G39" s="184">
        <v>3.9E-2</v>
      </c>
      <c r="H39" s="213">
        <v>4.3999999999999997E-2</v>
      </c>
      <c r="I39" s="210">
        <v>4.2999999999999997E-2</v>
      </c>
      <c r="J39" s="214">
        <v>4.2000000000000003E-2</v>
      </c>
      <c r="K39" s="173">
        <v>3.9E-2</v>
      </c>
      <c r="L39" s="174">
        <v>3.6999999999999998E-2</v>
      </c>
      <c r="M39" s="158"/>
      <c r="N39" s="158"/>
      <c r="O39" s="158"/>
      <c r="P39" s="158"/>
      <c r="R39" s="241" t="s">
        <v>287</v>
      </c>
      <c r="S39" s="169">
        <v>31.8</v>
      </c>
      <c r="T39" s="188">
        <v>7.0000000000000001E-3</v>
      </c>
      <c r="U39" s="212">
        <v>2.3E-2</v>
      </c>
      <c r="V39" s="190">
        <v>3.3000000000000002E-2</v>
      </c>
      <c r="W39" s="184">
        <v>3.9E-2</v>
      </c>
      <c r="X39" s="213">
        <v>4.3999999999999997E-2</v>
      </c>
      <c r="Y39" s="210">
        <v>4.2999999999999997E-2</v>
      </c>
      <c r="Z39" s="214">
        <v>4.2000000000000003E-2</v>
      </c>
      <c r="AA39" s="173">
        <v>3.9E-2</v>
      </c>
      <c r="AB39" s="174">
        <v>3.6999999999999998E-2</v>
      </c>
      <c r="AC39" s="158"/>
      <c r="AD39" s="158"/>
      <c r="AE39" s="158"/>
      <c r="AF39" s="158"/>
      <c r="AH39" s="241" t="s">
        <v>287</v>
      </c>
      <c r="AI39" s="169">
        <v>31.8</v>
      </c>
      <c r="AJ39" s="188">
        <v>7.0000000000000001E-3</v>
      </c>
      <c r="AK39" s="212">
        <v>2.3E-2</v>
      </c>
      <c r="AL39" s="190">
        <v>3.3000000000000002E-2</v>
      </c>
      <c r="AM39" s="184">
        <v>3.9E-2</v>
      </c>
      <c r="AN39" s="213">
        <v>4.3999999999999997E-2</v>
      </c>
      <c r="AO39" s="210">
        <v>4.2999999999999997E-2</v>
      </c>
      <c r="AP39" s="214">
        <v>4.2000000000000003E-2</v>
      </c>
      <c r="AQ39" s="173">
        <v>3.9E-2</v>
      </c>
      <c r="AR39" s="174">
        <v>3.6999999999999998E-2</v>
      </c>
      <c r="AS39" s="158"/>
      <c r="AT39" s="158"/>
      <c r="AU39" s="158"/>
      <c r="AV39" s="158"/>
      <c r="AX39" s="241" t="s">
        <v>287</v>
      </c>
      <c r="AY39" s="169">
        <v>31.8</v>
      </c>
      <c r="AZ39" s="188">
        <v>7.0000000000000001E-3</v>
      </c>
      <c r="BA39" s="212">
        <v>2.3E-2</v>
      </c>
      <c r="BB39" s="190">
        <v>3.3000000000000002E-2</v>
      </c>
      <c r="BC39" s="184">
        <v>3.9E-2</v>
      </c>
      <c r="BD39" s="213">
        <v>4.3999999999999997E-2</v>
      </c>
      <c r="BE39" s="210">
        <v>4.2999999999999997E-2</v>
      </c>
      <c r="BF39" s="214">
        <v>4.2000000000000003E-2</v>
      </c>
      <c r="BG39" s="173">
        <v>3.9E-2</v>
      </c>
      <c r="BH39" s="174">
        <v>3.6999999999999998E-2</v>
      </c>
      <c r="BI39" s="158"/>
      <c r="BJ39" s="158"/>
      <c r="BK39" s="158"/>
      <c r="BL39" s="158"/>
      <c r="BN39" s="241" t="s">
        <v>287</v>
      </c>
      <c r="BO39" s="169">
        <v>31.8</v>
      </c>
      <c r="BP39" s="188">
        <v>7.0000000000000001E-3</v>
      </c>
      <c r="BQ39" s="212">
        <v>2.3E-2</v>
      </c>
      <c r="BR39" s="190">
        <v>3.3000000000000002E-2</v>
      </c>
      <c r="BS39" s="184">
        <v>3.9E-2</v>
      </c>
      <c r="BT39" s="213">
        <v>4.3999999999999997E-2</v>
      </c>
      <c r="BU39" s="210">
        <v>4.2999999999999997E-2</v>
      </c>
      <c r="BV39" s="214">
        <v>4.2000000000000003E-2</v>
      </c>
      <c r="BW39" s="173">
        <v>3.9E-2</v>
      </c>
      <c r="BX39" s="174">
        <v>3.6999999999999998E-2</v>
      </c>
      <c r="BY39" s="158"/>
      <c r="BZ39" s="158"/>
      <c r="CA39" s="158"/>
      <c r="CB39" s="158"/>
      <c r="CD39" s="241" t="s">
        <v>287</v>
      </c>
      <c r="CE39" s="169">
        <v>31.8</v>
      </c>
      <c r="CF39" s="169"/>
      <c r="CG39" s="188">
        <v>7.0000000000000001E-3</v>
      </c>
      <c r="CH39" s="212">
        <v>2.3E-2</v>
      </c>
      <c r="CI39" s="190">
        <v>3.3000000000000002E-2</v>
      </c>
      <c r="CJ39" s="184">
        <v>3.9E-2</v>
      </c>
      <c r="CK39" s="213">
        <v>4.3999999999999997E-2</v>
      </c>
      <c r="CL39" s="210">
        <v>4.2999999999999997E-2</v>
      </c>
      <c r="CM39" s="214">
        <v>4.2000000000000003E-2</v>
      </c>
      <c r="CN39" s="173">
        <v>3.9E-2</v>
      </c>
      <c r="CO39" s="174">
        <v>3.6999999999999998E-2</v>
      </c>
      <c r="CP39" s="158"/>
      <c r="CQ39" s="158"/>
      <c r="CR39" s="158"/>
      <c r="CS39" s="158"/>
      <c r="CU39" s="241" t="s">
        <v>287</v>
      </c>
      <c r="CV39" s="169">
        <v>31.8</v>
      </c>
      <c r="CW39" s="188">
        <v>7.0000000000000001E-3</v>
      </c>
      <c r="CX39" s="212">
        <v>2.3E-2</v>
      </c>
      <c r="CY39" s="190">
        <v>3.3000000000000002E-2</v>
      </c>
      <c r="CZ39" s="184">
        <v>3.9E-2</v>
      </c>
      <c r="DA39" s="213">
        <v>4.3999999999999997E-2</v>
      </c>
      <c r="DB39" s="210">
        <v>4.2999999999999997E-2</v>
      </c>
      <c r="DC39" s="214">
        <v>4.2000000000000003E-2</v>
      </c>
      <c r="DD39" s="173">
        <v>3.9E-2</v>
      </c>
      <c r="DE39" s="174">
        <v>3.6999999999999998E-2</v>
      </c>
      <c r="DF39" s="158"/>
      <c r="DG39" s="158"/>
      <c r="DH39" s="158"/>
      <c r="DI39" s="158"/>
    </row>
    <row r="40" spans="1:113" x14ac:dyDescent="0.2">
      <c r="A40" s="363"/>
      <c r="B40" s="241" t="s">
        <v>288</v>
      </c>
      <c r="C40" s="169">
        <v>32.799999999999997</v>
      </c>
      <c r="D40" s="215">
        <v>8.9999999999999993E-3</v>
      </c>
      <c r="E40" s="216">
        <v>2.7E-2</v>
      </c>
      <c r="F40" s="193">
        <v>3.5999999999999997E-2</v>
      </c>
      <c r="G40" s="213">
        <v>4.3999999999999997E-2</v>
      </c>
      <c r="H40" s="217">
        <v>4.8000000000000001E-2</v>
      </c>
      <c r="I40" s="218">
        <v>4.9000000000000002E-2</v>
      </c>
      <c r="J40" s="171">
        <v>4.7E-2</v>
      </c>
      <c r="K40" s="213">
        <v>4.3999999999999997E-2</v>
      </c>
      <c r="L40" s="158"/>
      <c r="M40" s="158"/>
      <c r="N40" s="158"/>
      <c r="O40" s="158"/>
      <c r="P40" s="158"/>
      <c r="R40" s="241" t="s">
        <v>288</v>
      </c>
      <c r="S40" s="169">
        <v>32.799999999999997</v>
      </c>
      <c r="T40" s="215">
        <v>8.9999999999999993E-3</v>
      </c>
      <c r="U40" s="216">
        <v>2.7E-2</v>
      </c>
      <c r="V40" s="193">
        <v>3.5999999999999997E-2</v>
      </c>
      <c r="W40" s="213">
        <v>4.3999999999999997E-2</v>
      </c>
      <c r="X40" s="217">
        <v>4.8000000000000001E-2</v>
      </c>
      <c r="Y40" s="218">
        <v>4.9000000000000002E-2</v>
      </c>
      <c r="Z40" s="171">
        <v>4.7E-2</v>
      </c>
      <c r="AA40" s="213">
        <v>4.3999999999999997E-2</v>
      </c>
      <c r="AB40" s="158"/>
      <c r="AC40" s="158"/>
      <c r="AD40" s="158"/>
      <c r="AE40" s="158"/>
      <c r="AF40" s="158"/>
      <c r="AH40" s="241" t="s">
        <v>288</v>
      </c>
      <c r="AI40" s="169">
        <v>32.799999999999997</v>
      </c>
      <c r="AJ40" s="215">
        <v>8.9999999999999993E-3</v>
      </c>
      <c r="AK40" s="216">
        <v>2.7E-2</v>
      </c>
      <c r="AL40" s="193">
        <v>3.5999999999999997E-2</v>
      </c>
      <c r="AM40" s="213">
        <v>4.3999999999999997E-2</v>
      </c>
      <c r="AN40" s="217">
        <v>4.8000000000000001E-2</v>
      </c>
      <c r="AO40" s="218">
        <v>4.9000000000000002E-2</v>
      </c>
      <c r="AP40" s="171">
        <v>4.7E-2</v>
      </c>
      <c r="AQ40" s="213">
        <v>4.3999999999999997E-2</v>
      </c>
      <c r="AR40" s="158"/>
      <c r="AS40" s="158"/>
      <c r="AT40" s="158"/>
      <c r="AU40" s="158"/>
      <c r="AV40" s="158"/>
      <c r="AX40" s="241" t="s">
        <v>288</v>
      </c>
      <c r="AY40" s="169">
        <v>32.799999999999997</v>
      </c>
      <c r="AZ40" s="215">
        <v>8.9999999999999993E-3</v>
      </c>
      <c r="BA40" s="216">
        <v>2.7E-2</v>
      </c>
      <c r="BB40" s="193">
        <v>3.5999999999999997E-2</v>
      </c>
      <c r="BC40" s="213">
        <v>4.3999999999999997E-2</v>
      </c>
      <c r="BD40" s="217">
        <v>4.8000000000000001E-2</v>
      </c>
      <c r="BE40" s="218">
        <v>4.9000000000000002E-2</v>
      </c>
      <c r="BF40" s="171">
        <v>4.7E-2</v>
      </c>
      <c r="BG40" s="213">
        <v>4.3999999999999997E-2</v>
      </c>
      <c r="BH40" s="158"/>
      <c r="BI40" s="158"/>
      <c r="BJ40" s="158"/>
      <c r="BK40" s="158"/>
      <c r="BL40" s="158"/>
      <c r="BN40" s="241" t="s">
        <v>288</v>
      </c>
      <c r="BO40" s="169">
        <v>32.799999999999997</v>
      </c>
      <c r="BP40" s="215">
        <v>8.9999999999999993E-3</v>
      </c>
      <c r="BQ40" s="216">
        <v>2.7E-2</v>
      </c>
      <c r="BR40" s="193">
        <v>3.5999999999999997E-2</v>
      </c>
      <c r="BS40" s="213">
        <v>4.3999999999999997E-2</v>
      </c>
      <c r="BT40" s="217">
        <v>4.8000000000000001E-2</v>
      </c>
      <c r="BU40" s="218">
        <v>4.9000000000000002E-2</v>
      </c>
      <c r="BV40" s="171">
        <v>4.7E-2</v>
      </c>
      <c r="BW40" s="213">
        <v>4.3999999999999997E-2</v>
      </c>
      <c r="BX40" s="158"/>
      <c r="BY40" s="158"/>
      <c r="BZ40" s="158"/>
      <c r="CA40" s="158"/>
      <c r="CB40" s="158"/>
      <c r="CD40" s="241" t="s">
        <v>288</v>
      </c>
      <c r="CE40" s="169">
        <v>32.799999999999997</v>
      </c>
      <c r="CF40" s="169"/>
      <c r="CG40" s="215">
        <v>8.9999999999999993E-3</v>
      </c>
      <c r="CH40" s="216">
        <v>2.7E-2</v>
      </c>
      <c r="CI40" s="193">
        <v>3.5999999999999997E-2</v>
      </c>
      <c r="CJ40" s="213">
        <v>4.3999999999999997E-2</v>
      </c>
      <c r="CK40" s="217">
        <v>4.8000000000000001E-2</v>
      </c>
      <c r="CL40" s="218">
        <v>4.9000000000000002E-2</v>
      </c>
      <c r="CM40" s="171">
        <v>4.7E-2</v>
      </c>
      <c r="CN40" s="213">
        <v>4.3999999999999997E-2</v>
      </c>
      <c r="CO40" s="158"/>
      <c r="CP40" s="158"/>
      <c r="CQ40" s="158"/>
      <c r="CR40" s="158"/>
      <c r="CS40" s="158"/>
      <c r="CU40" s="241" t="s">
        <v>288</v>
      </c>
      <c r="CV40" s="169">
        <v>32.799999999999997</v>
      </c>
      <c r="CW40" s="215">
        <v>8.9999999999999993E-3</v>
      </c>
      <c r="CX40" s="216">
        <v>2.7E-2</v>
      </c>
      <c r="CY40" s="193">
        <v>3.5999999999999997E-2</v>
      </c>
      <c r="CZ40" s="213">
        <v>4.3999999999999997E-2</v>
      </c>
      <c r="DA40" s="217">
        <v>4.8000000000000001E-2</v>
      </c>
      <c r="DB40" s="218">
        <v>4.9000000000000002E-2</v>
      </c>
      <c r="DC40" s="171">
        <v>4.7E-2</v>
      </c>
      <c r="DD40" s="213">
        <v>4.3999999999999997E-2</v>
      </c>
      <c r="DE40" s="158"/>
      <c r="DF40" s="158"/>
      <c r="DG40" s="158"/>
      <c r="DH40" s="158"/>
      <c r="DI40" s="158"/>
    </row>
    <row r="41" spans="1:113" x14ac:dyDescent="0.2">
      <c r="A41" s="363"/>
      <c r="B41" s="241" t="s">
        <v>289</v>
      </c>
      <c r="C41" s="169">
        <v>32.6</v>
      </c>
      <c r="D41" s="183">
        <v>8.0000000000000002E-3</v>
      </c>
      <c r="E41" s="178">
        <v>2.4E-2</v>
      </c>
      <c r="F41" s="189">
        <v>3.5000000000000003E-2</v>
      </c>
      <c r="G41" s="180">
        <v>4.2999999999999997E-2</v>
      </c>
      <c r="H41" s="219">
        <v>4.7E-2</v>
      </c>
      <c r="I41" s="220">
        <v>4.8000000000000001E-2</v>
      </c>
      <c r="J41" s="221">
        <v>4.5999999999999999E-2</v>
      </c>
      <c r="K41" s="158"/>
      <c r="L41" s="158"/>
      <c r="M41" s="158"/>
      <c r="N41" s="158"/>
      <c r="O41" s="158"/>
      <c r="P41" s="158"/>
      <c r="R41" s="241" t="s">
        <v>289</v>
      </c>
      <c r="S41" s="169">
        <v>32.6</v>
      </c>
      <c r="T41" s="183">
        <v>8.0000000000000002E-3</v>
      </c>
      <c r="U41" s="178">
        <v>2.4E-2</v>
      </c>
      <c r="V41" s="189">
        <v>3.5000000000000003E-2</v>
      </c>
      <c r="W41" s="180">
        <v>4.2999999999999997E-2</v>
      </c>
      <c r="X41" s="219">
        <v>4.7E-2</v>
      </c>
      <c r="Y41" s="220">
        <v>4.8000000000000001E-2</v>
      </c>
      <c r="Z41" s="221">
        <v>4.5999999999999999E-2</v>
      </c>
      <c r="AA41" s="158"/>
      <c r="AB41" s="158"/>
      <c r="AC41" s="158"/>
      <c r="AD41" s="158"/>
      <c r="AE41" s="158"/>
      <c r="AF41" s="158"/>
      <c r="AH41" s="241" t="s">
        <v>289</v>
      </c>
      <c r="AI41" s="169">
        <v>32.6</v>
      </c>
      <c r="AJ41" s="183">
        <v>8.0000000000000002E-3</v>
      </c>
      <c r="AK41" s="178">
        <v>2.4E-2</v>
      </c>
      <c r="AL41" s="189">
        <v>3.5000000000000003E-2</v>
      </c>
      <c r="AM41" s="180">
        <v>4.2999999999999997E-2</v>
      </c>
      <c r="AN41" s="219">
        <v>4.7E-2</v>
      </c>
      <c r="AO41" s="220">
        <v>4.8000000000000001E-2</v>
      </c>
      <c r="AP41" s="221">
        <v>4.5999999999999999E-2</v>
      </c>
      <c r="AQ41" s="158"/>
      <c r="AR41" s="158"/>
      <c r="AS41" s="158"/>
      <c r="AT41" s="158"/>
      <c r="AU41" s="158"/>
      <c r="AV41" s="158"/>
      <c r="AX41" s="241" t="s">
        <v>289</v>
      </c>
      <c r="AY41" s="169">
        <v>32.6</v>
      </c>
      <c r="AZ41" s="183">
        <v>8.0000000000000002E-3</v>
      </c>
      <c r="BA41" s="178">
        <v>2.4E-2</v>
      </c>
      <c r="BB41" s="189">
        <v>3.5000000000000003E-2</v>
      </c>
      <c r="BC41" s="180">
        <v>4.2999999999999997E-2</v>
      </c>
      <c r="BD41" s="219">
        <v>4.7E-2</v>
      </c>
      <c r="BE41" s="220">
        <v>4.8000000000000001E-2</v>
      </c>
      <c r="BF41" s="221">
        <v>4.5999999999999999E-2</v>
      </c>
      <c r="BG41" s="158"/>
      <c r="BH41" s="158"/>
      <c r="BI41" s="158"/>
      <c r="BJ41" s="158"/>
      <c r="BK41" s="158"/>
      <c r="BL41" s="158"/>
      <c r="BN41" s="241" t="s">
        <v>289</v>
      </c>
      <c r="BO41" s="169">
        <v>32.6</v>
      </c>
      <c r="BP41" s="183">
        <v>8.0000000000000002E-3</v>
      </c>
      <c r="BQ41" s="178">
        <v>2.4E-2</v>
      </c>
      <c r="BR41" s="189">
        <v>3.5000000000000003E-2</v>
      </c>
      <c r="BS41" s="180">
        <v>4.2999999999999997E-2</v>
      </c>
      <c r="BT41" s="219">
        <v>4.7E-2</v>
      </c>
      <c r="BU41" s="220">
        <v>4.8000000000000001E-2</v>
      </c>
      <c r="BV41" s="221">
        <v>4.5999999999999999E-2</v>
      </c>
      <c r="BW41" s="158"/>
      <c r="BX41" s="158"/>
      <c r="BY41" s="158"/>
      <c r="BZ41" s="158"/>
      <c r="CA41" s="158"/>
      <c r="CB41" s="158"/>
      <c r="CD41" s="241" t="s">
        <v>289</v>
      </c>
      <c r="CE41" s="169">
        <v>32.6</v>
      </c>
      <c r="CF41" s="169"/>
      <c r="CG41" s="183">
        <v>8.0000000000000002E-3</v>
      </c>
      <c r="CH41" s="178">
        <v>2.4E-2</v>
      </c>
      <c r="CI41" s="189">
        <v>3.5000000000000003E-2</v>
      </c>
      <c r="CJ41" s="180">
        <v>4.2999999999999997E-2</v>
      </c>
      <c r="CK41" s="219">
        <v>4.7E-2</v>
      </c>
      <c r="CL41" s="220">
        <v>4.8000000000000001E-2</v>
      </c>
      <c r="CM41" s="221">
        <v>4.5999999999999999E-2</v>
      </c>
      <c r="CN41" s="158"/>
      <c r="CO41" s="158"/>
      <c r="CP41" s="158"/>
      <c r="CQ41" s="158"/>
      <c r="CR41" s="158"/>
      <c r="CS41" s="158"/>
      <c r="CU41" s="241" t="s">
        <v>289</v>
      </c>
      <c r="CV41" s="169">
        <v>32.6</v>
      </c>
      <c r="CW41" s="183">
        <v>8.0000000000000002E-3</v>
      </c>
      <c r="CX41" s="178">
        <v>2.4E-2</v>
      </c>
      <c r="CY41" s="189">
        <v>3.5000000000000003E-2</v>
      </c>
      <c r="CZ41" s="180">
        <v>4.2999999999999997E-2</v>
      </c>
      <c r="DA41" s="219">
        <v>4.7E-2</v>
      </c>
      <c r="DB41" s="220">
        <v>4.8000000000000001E-2</v>
      </c>
      <c r="DC41" s="221">
        <v>4.5999999999999999E-2</v>
      </c>
      <c r="DD41" s="158"/>
      <c r="DE41" s="158"/>
      <c r="DF41" s="158"/>
      <c r="DG41" s="158"/>
      <c r="DH41" s="158"/>
      <c r="DI41" s="158"/>
    </row>
    <row r="42" spans="1:113" x14ac:dyDescent="0.2">
      <c r="A42" s="363"/>
      <c r="B42" s="241" t="s">
        <v>259</v>
      </c>
      <c r="C42" s="169">
        <v>37.9</v>
      </c>
      <c r="D42" s="176">
        <v>7.0000000000000001E-3</v>
      </c>
      <c r="E42" s="222">
        <v>2.4E-2</v>
      </c>
      <c r="F42" s="223">
        <v>3.6999999999999998E-2</v>
      </c>
      <c r="G42" s="217">
        <v>4.8000000000000001E-2</v>
      </c>
      <c r="H42" s="224">
        <v>5.3999999999999999E-2</v>
      </c>
      <c r="I42" s="225">
        <v>5.2999999999999999E-2</v>
      </c>
      <c r="J42" s="158"/>
      <c r="K42" s="158"/>
      <c r="L42" s="158"/>
      <c r="M42" s="158"/>
      <c r="N42" s="158"/>
      <c r="O42" s="158"/>
      <c r="P42" s="158"/>
      <c r="R42" s="241" t="s">
        <v>259</v>
      </c>
      <c r="S42" s="169">
        <v>37.9</v>
      </c>
      <c r="T42" s="176">
        <v>7.0000000000000001E-3</v>
      </c>
      <c r="U42" s="222">
        <v>2.4E-2</v>
      </c>
      <c r="V42" s="223">
        <v>3.6999999999999998E-2</v>
      </c>
      <c r="W42" s="217">
        <v>4.8000000000000001E-2</v>
      </c>
      <c r="X42" s="224">
        <v>5.3999999999999999E-2</v>
      </c>
      <c r="Y42" s="225">
        <v>5.2999999999999999E-2</v>
      </c>
      <c r="Z42" s="158"/>
      <c r="AA42" s="158"/>
      <c r="AB42" s="158"/>
      <c r="AC42" s="158"/>
      <c r="AD42" s="158"/>
      <c r="AE42" s="158"/>
      <c r="AF42" s="158"/>
      <c r="AH42" s="241" t="s">
        <v>259</v>
      </c>
      <c r="AI42" s="169">
        <v>37.9</v>
      </c>
      <c r="AJ42" s="176">
        <v>7.0000000000000001E-3</v>
      </c>
      <c r="AK42" s="222">
        <v>2.4E-2</v>
      </c>
      <c r="AL42" s="223">
        <v>3.6999999999999998E-2</v>
      </c>
      <c r="AM42" s="217">
        <v>4.8000000000000001E-2</v>
      </c>
      <c r="AN42" s="224">
        <v>5.3999999999999999E-2</v>
      </c>
      <c r="AO42" s="225">
        <v>5.2999999999999999E-2</v>
      </c>
      <c r="AP42" s="158"/>
      <c r="AQ42" s="158"/>
      <c r="AR42" s="158"/>
      <c r="AS42" s="158"/>
      <c r="AT42" s="158"/>
      <c r="AU42" s="158"/>
      <c r="AV42" s="158"/>
      <c r="AX42" s="241" t="s">
        <v>259</v>
      </c>
      <c r="AY42" s="169">
        <v>37.9</v>
      </c>
      <c r="AZ42" s="176">
        <v>7.0000000000000001E-3</v>
      </c>
      <c r="BA42" s="222">
        <v>2.4E-2</v>
      </c>
      <c r="BB42" s="223">
        <v>3.6999999999999998E-2</v>
      </c>
      <c r="BC42" s="217">
        <v>4.8000000000000001E-2</v>
      </c>
      <c r="BD42" s="224">
        <v>5.3999999999999999E-2</v>
      </c>
      <c r="BE42" s="225">
        <v>5.2999999999999999E-2</v>
      </c>
      <c r="BF42" s="158"/>
      <c r="BG42" s="158"/>
      <c r="BH42" s="158"/>
      <c r="BI42" s="158"/>
      <c r="BJ42" s="158"/>
      <c r="BK42" s="158"/>
      <c r="BL42" s="158"/>
      <c r="BN42" s="241" t="s">
        <v>259</v>
      </c>
      <c r="BO42" s="169">
        <v>37.9</v>
      </c>
      <c r="BP42" s="176">
        <v>7.0000000000000001E-3</v>
      </c>
      <c r="BQ42" s="222">
        <v>2.4E-2</v>
      </c>
      <c r="BR42" s="223">
        <v>3.6999999999999998E-2</v>
      </c>
      <c r="BS42" s="217">
        <v>4.8000000000000001E-2</v>
      </c>
      <c r="BT42" s="224">
        <v>5.3999999999999999E-2</v>
      </c>
      <c r="BU42" s="225">
        <v>5.2999999999999999E-2</v>
      </c>
      <c r="BV42" s="158"/>
      <c r="BW42" s="158"/>
      <c r="BX42" s="158"/>
      <c r="BY42" s="158"/>
      <c r="BZ42" s="158"/>
      <c r="CA42" s="158"/>
      <c r="CB42" s="158"/>
      <c r="CD42" s="241" t="s">
        <v>259</v>
      </c>
      <c r="CE42" s="169">
        <v>37.9</v>
      </c>
      <c r="CF42" s="169"/>
      <c r="CG42" s="176">
        <v>7.0000000000000001E-3</v>
      </c>
      <c r="CH42" s="222">
        <v>2.4E-2</v>
      </c>
      <c r="CI42" s="223">
        <v>3.6999999999999998E-2</v>
      </c>
      <c r="CJ42" s="217">
        <v>4.8000000000000001E-2</v>
      </c>
      <c r="CK42" s="224">
        <v>5.3999999999999999E-2</v>
      </c>
      <c r="CL42" s="225">
        <v>5.2999999999999999E-2</v>
      </c>
      <c r="CM42" s="158"/>
      <c r="CN42" s="158"/>
      <c r="CO42" s="158"/>
      <c r="CP42" s="158"/>
      <c r="CQ42" s="158"/>
      <c r="CR42" s="158"/>
      <c r="CS42" s="158"/>
      <c r="CU42" s="241" t="s">
        <v>259</v>
      </c>
      <c r="CV42" s="169">
        <v>37.9</v>
      </c>
      <c r="CW42" s="176">
        <v>7.0000000000000001E-3</v>
      </c>
      <c r="CX42" s="222">
        <v>2.4E-2</v>
      </c>
      <c r="CY42" s="223">
        <v>3.6999999999999998E-2</v>
      </c>
      <c r="CZ42" s="217">
        <v>4.8000000000000001E-2</v>
      </c>
      <c r="DA42" s="224">
        <v>5.3999999999999999E-2</v>
      </c>
      <c r="DB42" s="225">
        <v>5.2999999999999999E-2</v>
      </c>
      <c r="DC42" s="158"/>
      <c r="DD42" s="158"/>
      <c r="DE42" s="158"/>
      <c r="DF42" s="158"/>
      <c r="DG42" s="158"/>
      <c r="DH42" s="158"/>
      <c r="DI42" s="158"/>
    </row>
    <row r="43" spans="1:113" x14ac:dyDescent="0.2">
      <c r="A43" s="363"/>
      <c r="B43" s="241" t="s">
        <v>260</v>
      </c>
      <c r="C43" s="169">
        <v>51.8</v>
      </c>
      <c r="D43" s="164">
        <v>8.9999999999999993E-3</v>
      </c>
      <c r="E43" s="226">
        <v>2.5000000000000001E-2</v>
      </c>
      <c r="F43" s="160">
        <v>3.5999999999999997E-2</v>
      </c>
      <c r="G43" s="227">
        <v>4.7E-2</v>
      </c>
      <c r="H43" s="228">
        <v>0.05</v>
      </c>
      <c r="I43" s="158"/>
      <c r="J43" s="158"/>
      <c r="K43" s="158"/>
      <c r="L43" s="158"/>
      <c r="M43" s="158"/>
      <c r="N43" s="158"/>
      <c r="O43" s="158"/>
      <c r="P43" s="158"/>
      <c r="R43" s="241" t="s">
        <v>260</v>
      </c>
      <c r="S43" s="169">
        <v>51.8</v>
      </c>
      <c r="T43" s="164">
        <v>8.9999999999999993E-3</v>
      </c>
      <c r="U43" s="226">
        <v>2.5000000000000001E-2</v>
      </c>
      <c r="V43" s="160">
        <v>3.5999999999999997E-2</v>
      </c>
      <c r="W43" s="227">
        <v>4.7E-2</v>
      </c>
      <c r="X43" s="228">
        <v>0.05</v>
      </c>
      <c r="Y43" s="158"/>
      <c r="Z43" s="158"/>
      <c r="AA43" s="158"/>
      <c r="AB43" s="158"/>
      <c r="AC43" s="158"/>
      <c r="AD43" s="158"/>
      <c r="AE43" s="158"/>
      <c r="AF43" s="158"/>
      <c r="AH43" s="241" t="s">
        <v>260</v>
      </c>
      <c r="AI43" s="169">
        <v>51.8</v>
      </c>
      <c r="AJ43" s="164">
        <v>8.9999999999999993E-3</v>
      </c>
      <c r="AK43" s="226">
        <v>2.5000000000000001E-2</v>
      </c>
      <c r="AL43" s="160">
        <v>3.5999999999999997E-2</v>
      </c>
      <c r="AM43" s="227">
        <v>4.7E-2</v>
      </c>
      <c r="AN43" s="228">
        <v>0.05</v>
      </c>
      <c r="AO43" s="158"/>
      <c r="AP43" s="158"/>
      <c r="AQ43" s="158"/>
      <c r="AR43" s="158"/>
      <c r="AS43" s="158"/>
      <c r="AT43" s="158"/>
      <c r="AU43" s="158"/>
      <c r="AV43" s="158"/>
      <c r="AX43" s="241" t="s">
        <v>260</v>
      </c>
      <c r="AY43" s="169">
        <v>51.8</v>
      </c>
      <c r="AZ43" s="164">
        <v>8.9999999999999993E-3</v>
      </c>
      <c r="BA43" s="226">
        <v>2.5000000000000001E-2</v>
      </c>
      <c r="BB43" s="160">
        <v>3.5999999999999997E-2</v>
      </c>
      <c r="BC43" s="227">
        <v>4.7E-2</v>
      </c>
      <c r="BD43" s="228">
        <v>0.05</v>
      </c>
      <c r="BE43" s="158"/>
      <c r="BF43" s="158"/>
      <c r="BG43" s="158"/>
      <c r="BH43" s="158"/>
      <c r="BI43" s="158"/>
      <c r="BJ43" s="158"/>
      <c r="BK43" s="158"/>
      <c r="BL43" s="158"/>
      <c r="BN43" s="241" t="s">
        <v>260</v>
      </c>
      <c r="BO43" s="169">
        <v>51.8</v>
      </c>
      <c r="BP43" s="164">
        <v>8.9999999999999993E-3</v>
      </c>
      <c r="BQ43" s="226">
        <v>2.5000000000000001E-2</v>
      </c>
      <c r="BR43" s="160">
        <v>3.5999999999999997E-2</v>
      </c>
      <c r="BS43" s="227">
        <v>4.7E-2</v>
      </c>
      <c r="BT43" s="228">
        <v>0.05</v>
      </c>
      <c r="BU43" s="158"/>
      <c r="BV43" s="158"/>
      <c r="BW43" s="158"/>
      <c r="BX43" s="158"/>
      <c r="BY43" s="158"/>
      <c r="BZ43" s="158"/>
      <c r="CA43" s="158"/>
      <c r="CB43" s="158"/>
      <c r="CD43" s="241" t="s">
        <v>260</v>
      </c>
      <c r="CE43" s="169">
        <v>51.8</v>
      </c>
      <c r="CF43" s="169"/>
      <c r="CG43" s="164">
        <v>8.9999999999999993E-3</v>
      </c>
      <c r="CH43" s="226">
        <v>2.5000000000000001E-2</v>
      </c>
      <c r="CI43" s="160">
        <v>3.5999999999999997E-2</v>
      </c>
      <c r="CJ43" s="227">
        <v>4.7E-2</v>
      </c>
      <c r="CK43" s="228">
        <v>0.05</v>
      </c>
      <c r="CL43" s="158"/>
      <c r="CM43" s="158"/>
      <c r="CN43" s="158"/>
      <c r="CO43" s="158"/>
      <c r="CP43" s="158"/>
      <c r="CQ43" s="158"/>
      <c r="CR43" s="158"/>
      <c r="CS43" s="158"/>
      <c r="CU43" s="241" t="s">
        <v>260</v>
      </c>
      <c r="CV43" s="169">
        <v>51.8</v>
      </c>
      <c r="CW43" s="164">
        <v>8.9999999999999993E-3</v>
      </c>
      <c r="CX43" s="226">
        <v>2.5000000000000001E-2</v>
      </c>
      <c r="CY43" s="160">
        <v>3.5999999999999997E-2</v>
      </c>
      <c r="CZ43" s="227">
        <v>4.7E-2</v>
      </c>
      <c r="DA43" s="228">
        <v>0.05</v>
      </c>
      <c r="DB43" s="158"/>
      <c r="DC43" s="158"/>
      <c r="DD43" s="158"/>
      <c r="DE43" s="158"/>
      <c r="DF43" s="158"/>
      <c r="DG43" s="158"/>
      <c r="DH43" s="158"/>
      <c r="DI43" s="158"/>
    </row>
    <row r="44" spans="1:113" x14ac:dyDescent="0.2">
      <c r="A44" s="363"/>
      <c r="B44" s="241" t="s">
        <v>261</v>
      </c>
      <c r="C44" s="169">
        <v>51.8</v>
      </c>
      <c r="D44" s="229">
        <v>7.0000000000000001E-3</v>
      </c>
      <c r="E44" s="230">
        <v>2.4E-2</v>
      </c>
      <c r="F44" s="201">
        <v>3.7999999999999999E-2</v>
      </c>
      <c r="G44" s="231">
        <v>4.4999999999999998E-2</v>
      </c>
      <c r="H44" s="158"/>
      <c r="I44" s="158"/>
      <c r="J44" s="158"/>
      <c r="K44" s="158"/>
      <c r="L44" s="158"/>
      <c r="M44" s="158"/>
      <c r="N44" s="158"/>
      <c r="O44" s="158"/>
      <c r="P44" s="158"/>
      <c r="R44" s="241" t="s">
        <v>261</v>
      </c>
      <c r="S44" s="169">
        <v>51.8</v>
      </c>
      <c r="T44" s="229">
        <v>7.0000000000000001E-3</v>
      </c>
      <c r="U44" s="230">
        <v>2.4E-2</v>
      </c>
      <c r="V44" s="201">
        <v>3.7999999999999999E-2</v>
      </c>
      <c r="W44" s="231">
        <v>4.4999999999999998E-2</v>
      </c>
      <c r="X44" s="158"/>
      <c r="Y44" s="158"/>
      <c r="Z44" s="158"/>
      <c r="AA44" s="158"/>
      <c r="AB44" s="158"/>
      <c r="AC44" s="158"/>
      <c r="AD44" s="158"/>
      <c r="AE44" s="158"/>
      <c r="AF44" s="158"/>
      <c r="AH44" s="241" t="s">
        <v>261</v>
      </c>
      <c r="AI44" s="169">
        <v>51.8</v>
      </c>
      <c r="AJ44" s="229">
        <v>7.0000000000000001E-3</v>
      </c>
      <c r="AK44" s="230">
        <v>2.4E-2</v>
      </c>
      <c r="AL44" s="201">
        <v>3.7999999999999999E-2</v>
      </c>
      <c r="AM44" s="231">
        <v>4.4999999999999998E-2</v>
      </c>
      <c r="AN44" s="158"/>
      <c r="AO44" s="158"/>
      <c r="AP44" s="158"/>
      <c r="AQ44" s="158"/>
      <c r="AR44" s="158"/>
      <c r="AS44" s="158"/>
      <c r="AT44" s="158"/>
      <c r="AU44" s="158"/>
      <c r="AV44" s="158"/>
      <c r="AX44" s="241" t="s">
        <v>261</v>
      </c>
      <c r="AY44" s="169">
        <v>51.8</v>
      </c>
      <c r="AZ44" s="229">
        <v>7.0000000000000001E-3</v>
      </c>
      <c r="BA44" s="230">
        <v>2.4E-2</v>
      </c>
      <c r="BB44" s="201">
        <v>3.7999999999999999E-2</v>
      </c>
      <c r="BC44" s="231">
        <v>4.4999999999999998E-2</v>
      </c>
      <c r="BD44" s="158"/>
      <c r="BE44" s="158"/>
      <c r="BF44" s="158"/>
      <c r="BG44" s="158"/>
      <c r="BH44" s="158"/>
      <c r="BI44" s="158"/>
      <c r="BJ44" s="158"/>
      <c r="BK44" s="158"/>
      <c r="BL44" s="158"/>
      <c r="BN44" s="241" t="s">
        <v>261</v>
      </c>
      <c r="BO44" s="169">
        <v>51.8</v>
      </c>
      <c r="BP44" s="229">
        <v>7.0000000000000001E-3</v>
      </c>
      <c r="BQ44" s="230">
        <v>2.4E-2</v>
      </c>
      <c r="BR44" s="201">
        <v>3.7999999999999999E-2</v>
      </c>
      <c r="BS44" s="231">
        <v>4.4999999999999998E-2</v>
      </c>
      <c r="BT44" s="158"/>
      <c r="BU44" s="158"/>
      <c r="BV44" s="158"/>
      <c r="BW44" s="158"/>
      <c r="BX44" s="158"/>
      <c r="BY44" s="158"/>
      <c r="BZ44" s="158"/>
      <c r="CA44" s="158"/>
      <c r="CB44" s="158"/>
      <c r="CD44" s="241" t="s">
        <v>261</v>
      </c>
      <c r="CE44" s="169">
        <v>51.8</v>
      </c>
      <c r="CF44" s="169"/>
      <c r="CG44" s="229">
        <v>7.0000000000000001E-3</v>
      </c>
      <c r="CH44" s="230">
        <v>2.4E-2</v>
      </c>
      <c r="CI44" s="201">
        <v>3.7999999999999999E-2</v>
      </c>
      <c r="CJ44" s="231">
        <v>4.4999999999999998E-2</v>
      </c>
      <c r="CK44" s="158"/>
      <c r="CL44" s="158"/>
      <c r="CM44" s="158"/>
      <c r="CN44" s="158"/>
      <c r="CO44" s="158"/>
      <c r="CP44" s="158"/>
      <c r="CQ44" s="158"/>
      <c r="CR44" s="158"/>
      <c r="CS44" s="158"/>
      <c r="CU44" s="241" t="s">
        <v>261</v>
      </c>
      <c r="CV44" s="169">
        <v>51.8</v>
      </c>
      <c r="CW44" s="229">
        <v>7.0000000000000001E-3</v>
      </c>
      <c r="CX44" s="230">
        <v>2.4E-2</v>
      </c>
      <c r="CY44" s="201">
        <v>3.7999999999999999E-2</v>
      </c>
      <c r="CZ44" s="231">
        <v>4.4999999999999998E-2</v>
      </c>
      <c r="DA44" s="158"/>
      <c r="DB44" s="158"/>
      <c r="DC44" s="158"/>
      <c r="DD44" s="158"/>
      <c r="DE44" s="158"/>
      <c r="DF44" s="158"/>
      <c r="DG44" s="158"/>
      <c r="DH44" s="158"/>
      <c r="DI44" s="158"/>
    </row>
    <row r="45" spans="1:113" x14ac:dyDescent="0.2">
      <c r="A45" s="363"/>
      <c r="B45" s="241" t="s">
        <v>262</v>
      </c>
      <c r="C45" s="169">
        <v>51.3</v>
      </c>
      <c r="D45" s="232">
        <v>8.9999999999999993E-3</v>
      </c>
      <c r="E45" s="233">
        <v>2.5999999999999999E-2</v>
      </c>
      <c r="F45" s="234">
        <v>3.7999999999999999E-2</v>
      </c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R45" s="241" t="s">
        <v>262</v>
      </c>
      <c r="S45" s="169">
        <v>51.3</v>
      </c>
      <c r="T45" s="232">
        <v>8.9999999999999993E-3</v>
      </c>
      <c r="U45" s="233">
        <v>2.5999999999999999E-2</v>
      </c>
      <c r="V45" s="234">
        <v>3.7999999999999999E-2</v>
      </c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  <c r="AH45" s="241" t="s">
        <v>262</v>
      </c>
      <c r="AI45" s="169">
        <v>51.3</v>
      </c>
      <c r="AJ45" s="232">
        <v>8.9999999999999993E-3</v>
      </c>
      <c r="AK45" s="233">
        <v>2.5999999999999999E-2</v>
      </c>
      <c r="AL45" s="234">
        <v>3.7999999999999999E-2</v>
      </c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X45" s="241" t="s">
        <v>262</v>
      </c>
      <c r="AY45" s="169">
        <v>51.3</v>
      </c>
      <c r="AZ45" s="232">
        <v>8.9999999999999993E-3</v>
      </c>
      <c r="BA45" s="233">
        <v>2.5999999999999999E-2</v>
      </c>
      <c r="BB45" s="234">
        <v>3.7999999999999999E-2</v>
      </c>
      <c r="BC45" s="158"/>
      <c r="BD45" s="158"/>
      <c r="BE45" s="158"/>
      <c r="BF45" s="158"/>
      <c r="BG45" s="158"/>
      <c r="BH45" s="158"/>
      <c r="BI45" s="158"/>
      <c r="BJ45" s="158"/>
      <c r="BK45" s="158"/>
      <c r="BL45" s="158"/>
      <c r="BN45" s="241" t="s">
        <v>262</v>
      </c>
      <c r="BO45" s="169">
        <v>51.3</v>
      </c>
      <c r="BP45" s="232">
        <v>8.9999999999999993E-3</v>
      </c>
      <c r="BQ45" s="233">
        <v>2.5999999999999999E-2</v>
      </c>
      <c r="BR45" s="234">
        <v>3.7999999999999999E-2</v>
      </c>
      <c r="BS45" s="158"/>
      <c r="BT45" s="158"/>
      <c r="BU45" s="158"/>
      <c r="BV45" s="158"/>
      <c r="BW45" s="158"/>
      <c r="BX45" s="158"/>
      <c r="BY45" s="158"/>
      <c r="BZ45" s="158"/>
      <c r="CA45" s="158"/>
      <c r="CB45" s="158"/>
      <c r="CD45" s="241" t="s">
        <v>262</v>
      </c>
      <c r="CE45" s="169">
        <v>51.3</v>
      </c>
      <c r="CF45" s="169"/>
      <c r="CG45" s="232">
        <v>8.9999999999999993E-3</v>
      </c>
      <c r="CH45" s="233">
        <v>2.5999999999999999E-2</v>
      </c>
      <c r="CI45" s="234">
        <v>3.7999999999999999E-2</v>
      </c>
      <c r="CJ45" s="158"/>
      <c r="CK45" s="158"/>
      <c r="CL45" s="158"/>
      <c r="CM45" s="158"/>
      <c r="CN45" s="158"/>
      <c r="CO45" s="158"/>
      <c r="CP45" s="158"/>
      <c r="CQ45" s="158"/>
      <c r="CR45" s="158"/>
      <c r="CS45" s="158"/>
      <c r="CU45" s="241" t="s">
        <v>262</v>
      </c>
      <c r="CV45" s="169">
        <v>51.3</v>
      </c>
      <c r="CW45" s="232">
        <v>8.9999999999999993E-3</v>
      </c>
      <c r="CX45" s="233">
        <v>2.5999999999999999E-2</v>
      </c>
      <c r="CY45" s="234">
        <v>3.7999999999999999E-2</v>
      </c>
      <c r="CZ45" s="158"/>
      <c r="DA45" s="158"/>
      <c r="DB45" s="158"/>
      <c r="DC45" s="158"/>
      <c r="DD45" s="158"/>
      <c r="DE45" s="158"/>
      <c r="DF45" s="158"/>
      <c r="DG45" s="158"/>
      <c r="DH45" s="158"/>
      <c r="DI45" s="158"/>
    </row>
    <row r="46" spans="1:113" x14ac:dyDescent="0.2">
      <c r="A46" s="363"/>
      <c r="B46" s="241" t="s">
        <v>263</v>
      </c>
      <c r="C46" s="169">
        <v>57.6</v>
      </c>
      <c r="D46" s="235">
        <v>8.9999999999999993E-3</v>
      </c>
      <c r="E46" s="236">
        <v>2.5000000000000001E-2</v>
      </c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R46" s="241" t="s">
        <v>263</v>
      </c>
      <c r="S46" s="169">
        <v>57.6</v>
      </c>
      <c r="T46" s="235">
        <v>8.9999999999999993E-3</v>
      </c>
      <c r="U46" s="236">
        <v>2.5000000000000001E-2</v>
      </c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H46" s="241" t="s">
        <v>263</v>
      </c>
      <c r="AI46" s="169">
        <v>57.6</v>
      </c>
      <c r="AJ46" s="235">
        <v>8.9999999999999993E-3</v>
      </c>
      <c r="AK46" s="236">
        <v>2.5000000000000001E-2</v>
      </c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X46" s="241" t="s">
        <v>263</v>
      </c>
      <c r="AY46" s="169">
        <v>57.6</v>
      </c>
      <c r="AZ46" s="235">
        <v>8.9999999999999993E-3</v>
      </c>
      <c r="BA46" s="236">
        <v>2.5000000000000001E-2</v>
      </c>
      <c r="BB46" s="158"/>
      <c r="BC46" s="158"/>
      <c r="BD46" s="158"/>
      <c r="BE46" s="158"/>
      <c r="BF46" s="158"/>
      <c r="BG46" s="158"/>
      <c r="BH46" s="158"/>
      <c r="BI46" s="158"/>
      <c r="BJ46" s="158"/>
      <c r="BK46" s="158"/>
      <c r="BL46" s="158"/>
      <c r="BN46" s="241" t="s">
        <v>263</v>
      </c>
      <c r="BO46" s="169">
        <v>57.6</v>
      </c>
      <c r="BP46" s="235">
        <v>8.9999999999999993E-3</v>
      </c>
      <c r="BQ46" s="236">
        <v>2.5000000000000001E-2</v>
      </c>
      <c r="BR46" s="158"/>
      <c r="BS46" s="158"/>
      <c r="BT46" s="158"/>
      <c r="BU46" s="158"/>
      <c r="BV46" s="158"/>
      <c r="BW46" s="158"/>
      <c r="BX46" s="158"/>
      <c r="BY46" s="158"/>
      <c r="BZ46" s="158"/>
      <c r="CA46" s="158"/>
      <c r="CB46" s="158"/>
      <c r="CD46" s="241" t="s">
        <v>263</v>
      </c>
      <c r="CE46" s="169">
        <v>57.6</v>
      </c>
      <c r="CF46" s="169"/>
      <c r="CG46" s="235">
        <v>8.9999999999999993E-3</v>
      </c>
      <c r="CH46" s="236">
        <v>2.5000000000000001E-2</v>
      </c>
      <c r="CI46" s="158"/>
      <c r="CJ46" s="158"/>
      <c r="CK46" s="158"/>
      <c r="CL46" s="158"/>
      <c r="CM46" s="158"/>
      <c r="CN46" s="158"/>
      <c r="CO46" s="158"/>
      <c r="CP46" s="158"/>
      <c r="CQ46" s="158"/>
      <c r="CR46" s="158"/>
      <c r="CS46" s="158"/>
      <c r="CU46" s="241" t="s">
        <v>263</v>
      </c>
      <c r="CV46" s="169">
        <v>57.6</v>
      </c>
      <c r="CW46" s="235">
        <v>8.9999999999999993E-3</v>
      </c>
      <c r="CX46" s="236">
        <v>2.5000000000000001E-2</v>
      </c>
      <c r="CY46" s="158"/>
      <c r="CZ46" s="158"/>
      <c r="DA46" s="158"/>
      <c r="DB46" s="158"/>
      <c r="DC46" s="158"/>
      <c r="DD46" s="158"/>
      <c r="DE46" s="158"/>
      <c r="DF46" s="158"/>
      <c r="DG46" s="158"/>
      <c r="DH46" s="158"/>
      <c r="DI46" s="158"/>
    </row>
    <row r="47" spans="1:113" ht="16" thickBot="1" x14ac:dyDescent="0.25">
      <c r="A47" s="364"/>
      <c r="B47" s="242" t="s">
        <v>271</v>
      </c>
      <c r="C47" s="237">
        <v>53.5</v>
      </c>
      <c r="D47" s="238">
        <v>7.0000000000000001E-3</v>
      </c>
      <c r="E47" s="239"/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R47" s="242" t="s">
        <v>271</v>
      </c>
      <c r="S47" s="237">
        <v>53.5</v>
      </c>
      <c r="T47" s="238">
        <v>7.0000000000000001E-3</v>
      </c>
      <c r="U47" s="239"/>
      <c r="V47" s="239"/>
      <c r="W47" s="239"/>
      <c r="X47" s="239"/>
      <c r="Y47" s="239"/>
      <c r="Z47" s="239"/>
      <c r="AA47" s="239"/>
      <c r="AB47" s="239"/>
      <c r="AC47" s="239"/>
      <c r="AD47" s="239"/>
      <c r="AE47" s="239"/>
      <c r="AF47" s="239"/>
      <c r="AH47" s="242" t="s">
        <v>271</v>
      </c>
      <c r="AI47" s="237">
        <v>53.5</v>
      </c>
      <c r="AJ47" s="238">
        <v>7.0000000000000001E-3</v>
      </c>
      <c r="AK47" s="239"/>
      <c r="AL47" s="239"/>
      <c r="AM47" s="239"/>
      <c r="AN47" s="239"/>
      <c r="AO47" s="239"/>
      <c r="AP47" s="239"/>
      <c r="AQ47" s="239"/>
      <c r="AR47" s="239"/>
      <c r="AS47" s="239"/>
      <c r="AT47" s="239"/>
      <c r="AU47" s="239"/>
      <c r="AV47" s="239"/>
      <c r="AX47" s="242" t="s">
        <v>271</v>
      </c>
      <c r="AY47" s="237">
        <v>53.5</v>
      </c>
      <c r="AZ47" s="238">
        <v>7.0000000000000001E-3</v>
      </c>
      <c r="BA47" s="239"/>
      <c r="BB47" s="239"/>
      <c r="BC47" s="239"/>
      <c r="BD47" s="239"/>
      <c r="BE47" s="239"/>
      <c r="BF47" s="239"/>
      <c r="BG47" s="239"/>
      <c r="BH47" s="239"/>
      <c r="BI47" s="239"/>
      <c r="BJ47" s="239"/>
      <c r="BK47" s="239"/>
      <c r="BL47" s="239"/>
      <c r="BN47" s="242" t="s">
        <v>271</v>
      </c>
      <c r="BO47" s="237">
        <v>53.5</v>
      </c>
      <c r="BP47" s="238">
        <v>7.0000000000000001E-3</v>
      </c>
      <c r="BQ47" s="239"/>
      <c r="BR47" s="239"/>
      <c r="BS47" s="239"/>
      <c r="BT47" s="239"/>
      <c r="BU47" s="239"/>
      <c r="BV47" s="239"/>
      <c r="BW47" s="239"/>
      <c r="BX47" s="239"/>
      <c r="BY47" s="239"/>
      <c r="BZ47" s="239"/>
      <c r="CA47" s="239"/>
      <c r="CB47" s="239"/>
      <c r="CD47" s="242" t="s">
        <v>271</v>
      </c>
      <c r="CE47" s="237">
        <v>53.5</v>
      </c>
      <c r="CF47" s="237"/>
      <c r="CG47" s="238">
        <v>7.0000000000000001E-3</v>
      </c>
      <c r="CH47" s="239"/>
      <c r="CI47" s="239"/>
      <c r="CJ47" s="239"/>
      <c r="CK47" s="239"/>
      <c r="CL47" s="239"/>
      <c r="CM47" s="239"/>
      <c r="CN47" s="239"/>
      <c r="CO47" s="239"/>
      <c r="CP47" s="239"/>
      <c r="CQ47" s="239"/>
      <c r="CR47" s="239"/>
      <c r="CS47" s="239"/>
      <c r="CU47" s="242" t="s">
        <v>271</v>
      </c>
      <c r="CV47" s="237">
        <v>53.5</v>
      </c>
      <c r="CW47" s="238">
        <v>7.0000000000000001E-3</v>
      </c>
      <c r="CX47" s="239"/>
      <c r="CY47" s="239"/>
      <c r="CZ47" s="239"/>
      <c r="DA47" s="239"/>
      <c r="DB47" s="239"/>
      <c r="DC47" s="239"/>
      <c r="DD47" s="239"/>
      <c r="DE47" s="239"/>
      <c r="DF47" s="239"/>
      <c r="DG47" s="239"/>
      <c r="DH47" s="239"/>
      <c r="DI47" s="239"/>
    </row>
    <row r="48" spans="1:113" ht="16" thickBot="1" x14ac:dyDescent="0.25"/>
    <row r="49" spans="1:113" x14ac:dyDescent="0.2">
      <c r="A49" s="362" t="s">
        <v>292</v>
      </c>
      <c r="B49" s="361" t="s">
        <v>274</v>
      </c>
      <c r="C49" s="361"/>
      <c r="D49" s="361"/>
      <c r="E49" s="361"/>
      <c r="F49" s="361"/>
      <c r="G49" s="361"/>
      <c r="H49" s="361"/>
      <c r="I49" s="361"/>
      <c r="J49" s="361"/>
      <c r="K49" s="361"/>
      <c r="L49" s="361"/>
      <c r="M49" s="361"/>
      <c r="N49" s="361"/>
      <c r="O49" s="361"/>
      <c r="P49" s="361"/>
      <c r="R49" s="361" t="s">
        <v>275</v>
      </c>
      <c r="S49" s="361"/>
      <c r="T49" s="361"/>
      <c r="U49" s="361"/>
      <c r="V49" s="361"/>
      <c r="W49" s="361"/>
      <c r="X49" s="361"/>
      <c r="Y49" s="361"/>
      <c r="Z49" s="361"/>
      <c r="AA49" s="361"/>
      <c r="AB49" s="361"/>
      <c r="AC49" s="361"/>
      <c r="AD49" s="361"/>
      <c r="AE49" s="361"/>
      <c r="AF49" s="361"/>
      <c r="AH49" s="361" t="s">
        <v>276</v>
      </c>
      <c r="AI49" s="361"/>
      <c r="AJ49" s="361"/>
      <c r="AK49" s="361"/>
      <c r="AL49" s="361"/>
      <c r="AM49" s="361"/>
      <c r="AN49" s="361"/>
      <c r="AO49" s="361"/>
      <c r="AP49" s="361"/>
      <c r="AQ49" s="361"/>
      <c r="AR49" s="361"/>
      <c r="AS49" s="361"/>
      <c r="AT49" s="361"/>
      <c r="AU49" s="361"/>
      <c r="AV49" s="361"/>
      <c r="AX49" s="361" t="s">
        <v>277</v>
      </c>
      <c r="AY49" s="361"/>
      <c r="AZ49" s="361"/>
      <c r="BA49" s="361"/>
      <c r="BB49" s="361"/>
      <c r="BC49" s="361"/>
      <c r="BD49" s="361"/>
      <c r="BE49" s="361"/>
      <c r="BF49" s="361"/>
      <c r="BG49" s="361"/>
      <c r="BH49" s="361"/>
      <c r="BI49" s="361"/>
      <c r="BJ49" s="361"/>
      <c r="BK49" s="361"/>
      <c r="BL49" s="361"/>
      <c r="BN49" s="361" t="s">
        <v>278</v>
      </c>
      <c r="BO49" s="361"/>
      <c r="BP49" s="361"/>
      <c r="BQ49" s="361"/>
      <c r="BR49" s="361"/>
      <c r="BS49" s="361"/>
      <c r="BT49" s="361"/>
      <c r="BU49" s="361"/>
      <c r="BV49" s="361"/>
      <c r="BW49" s="361"/>
      <c r="BX49" s="361"/>
      <c r="BY49" s="361"/>
      <c r="BZ49" s="361"/>
      <c r="CA49" s="361"/>
      <c r="CB49" s="361"/>
      <c r="CD49" s="361" t="s">
        <v>279</v>
      </c>
      <c r="CE49" s="361"/>
      <c r="CF49" s="361"/>
      <c r="CG49" s="361"/>
      <c r="CH49" s="361"/>
      <c r="CI49" s="361"/>
      <c r="CJ49" s="361"/>
      <c r="CK49" s="361"/>
      <c r="CL49" s="361"/>
      <c r="CM49" s="361"/>
      <c r="CN49" s="361"/>
      <c r="CO49" s="361"/>
      <c r="CP49" s="361"/>
      <c r="CQ49" s="361"/>
      <c r="CR49" s="361"/>
      <c r="CS49" s="361"/>
      <c r="CU49" s="361" t="s">
        <v>280</v>
      </c>
      <c r="CV49" s="361"/>
      <c r="CW49" s="361"/>
      <c r="CX49" s="361"/>
      <c r="CY49" s="361"/>
      <c r="CZ49" s="361"/>
      <c r="DA49" s="361"/>
      <c r="DB49" s="361"/>
      <c r="DC49" s="361"/>
      <c r="DD49" s="361"/>
      <c r="DE49" s="361"/>
      <c r="DF49" s="361"/>
      <c r="DG49" s="361"/>
      <c r="DH49" s="361"/>
      <c r="DI49" s="361"/>
    </row>
    <row r="50" spans="1:113" x14ac:dyDescent="0.2">
      <c r="A50" s="363"/>
      <c r="B50" s="240" t="s">
        <v>126</v>
      </c>
      <c r="C50" s="157" t="s">
        <v>281</v>
      </c>
      <c r="D50" s="157">
        <v>1</v>
      </c>
      <c r="E50" s="157">
        <v>2</v>
      </c>
      <c r="F50" s="157">
        <v>3</v>
      </c>
      <c r="G50" s="157">
        <v>4</v>
      </c>
      <c r="H50" s="157">
        <v>5</v>
      </c>
      <c r="I50" s="157">
        <v>6</v>
      </c>
      <c r="J50" s="157">
        <v>7</v>
      </c>
      <c r="K50" s="157">
        <v>8</v>
      </c>
      <c r="L50" s="157">
        <v>9</v>
      </c>
      <c r="M50" s="157">
        <v>10</v>
      </c>
      <c r="N50" s="157">
        <v>11</v>
      </c>
      <c r="O50" s="157">
        <v>12</v>
      </c>
      <c r="P50" s="157">
        <v>13</v>
      </c>
      <c r="R50" s="240" t="s">
        <v>126</v>
      </c>
      <c r="S50" s="157" t="s">
        <v>281</v>
      </c>
      <c r="T50" s="157">
        <v>2</v>
      </c>
      <c r="U50" s="157">
        <v>3</v>
      </c>
      <c r="V50" s="157">
        <v>4</v>
      </c>
      <c r="W50" s="157">
        <v>5</v>
      </c>
      <c r="X50" s="157">
        <v>6</v>
      </c>
      <c r="Y50" s="157">
        <v>7</v>
      </c>
      <c r="Z50" s="157">
        <v>8</v>
      </c>
      <c r="AA50" s="157">
        <v>9</v>
      </c>
      <c r="AB50" s="157">
        <v>10</v>
      </c>
      <c r="AC50" s="157">
        <v>11</v>
      </c>
      <c r="AD50" s="157">
        <v>12</v>
      </c>
      <c r="AE50" s="157">
        <v>13</v>
      </c>
      <c r="AF50" s="157">
        <v>14</v>
      </c>
      <c r="AH50" s="240" t="s">
        <v>126</v>
      </c>
      <c r="AI50" s="157" t="s">
        <v>281</v>
      </c>
      <c r="AJ50" s="157">
        <v>3</v>
      </c>
      <c r="AK50" s="157">
        <v>4</v>
      </c>
      <c r="AL50" s="157">
        <v>5</v>
      </c>
      <c r="AM50" s="157">
        <v>6</v>
      </c>
      <c r="AN50" s="157">
        <v>7</v>
      </c>
      <c r="AO50" s="157">
        <v>8</v>
      </c>
      <c r="AP50" s="157">
        <v>9</v>
      </c>
      <c r="AQ50" s="157">
        <v>10</v>
      </c>
      <c r="AR50" s="157">
        <v>11</v>
      </c>
      <c r="AS50" s="157">
        <v>12</v>
      </c>
      <c r="AT50" s="157">
        <v>13</v>
      </c>
      <c r="AU50" s="157">
        <v>14</v>
      </c>
      <c r="AV50" s="157">
        <v>15</v>
      </c>
      <c r="AX50" s="240" t="s">
        <v>126</v>
      </c>
      <c r="AY50" s="157" t="s">
        <v>281</v>
      </c>
      <c r="AZ50" s="157">
        <v>4</v>
      </c>
      <c r="BA50" s="157">
        <v>5</v>
      </c>
      <c r="BB50" s="157">
        <v>6</v>
      </c>
      <c r="BC50" s="157">
        <v>7</v>
      </c>
      <c r="BD50" s="157">
        <v>8</v>
      </c>
      <c r="BE50" s="157">
        <v>9</v>
      </c>
      <c r="BF50" s="157">
        <v>10</v>
      </c>
      <c r="BG50" s="157">
        <v>11</v>
      </c>
      <c r="BH50" s="157">
        <v>12</v>
      </c>
      <c r="BI50" s="157">
        <v>13</v>
      </c>
      <c r="BJ50" s="157">
        <v>14</v>
      </c>
      <c r="BK50" s="157">
        <v>15</v>
      </c>
      <c r="BL50" s="157">
        <v>16</v>
      </c>
      <c r="BN50" s="240" t="s">
        <v>126</v>
      </c>
      <c r="BO50" s="157" t="s">
        <v>281</v>
      </c>
      <c r="BP50" s="157">
        <v>4</v>
      </c>
      <c r="BQ50" s="157">
        <v>5</v>
      </c>
      <c r="BR50" s="157">
        <v>6</v>
      </c>
      <c r="BS50" s="157">
        <v>7</v>
      </c>
      <c r="BT50" s="157">
        <v>8</v>
      </c>
      <c r="BU50" s="157">
        <v>9</v>
      </c>
      <c r="BV50" s="157">
        <v>10</v>
      </c>
      <c r="BW50" s="157">
        <v>11</v>
      </c>
      <c r="BX50" s="157">
        <v>12</v>
      </c>
      <c r="BY50" s="157">
        <v>13</v>
      </c>
      <c r="BZ50" s="157">
        <v>14</v>
      </c>
      <c r="CA50" s="157">
        <v>15</v>
      </c>
      <c r="CB50" s="157">
        <v>16</v>
      </c>
      <c r="CD50" s="240" t="s">
        <v>126</v>
      </c>
      <c r="CE50" s="157" t="s">
        <v>281</v>
      </c>
      <c r="CF50" s="157" t="s">
        <v>282</v>
      </c>
      <c r="CG50" s="157">
        <v>1</v>
      </c>
      <c r="CH50" s="157">
        <v>2</v>
      </c>
      <c r="CI50" s="157">
        <v>3</v>
      </c>
      <c r="CJ50" s="157">
        <v>4</v>
      </c>
      <c r="CK50" s="157">
        <v>5</v>
      </c>
      <c r="CL50" s="157">
        <v>6</v>
      </c>
      <c r="CM50" s="157">
        <v>7</v>
      </c>
      <c r="CN50" s="157">
        <v>8</v>
      </c>
      <c r="CO50" s="157">
        <v>9</v>
      </c>
      <c r="CP50" s="157">
        <v>10</v>
      </c>
      <c r="CQ50" s="157">
        <v>11</v>
      </c>
      <c r="CR50" s="157">
        <v>12</v>
      </c>
      <c r="CS50" s="157">
        <v>13</v>
      </c>
      <c r="CU50" s="240" t="s">
        <v>126</v>
      </c>
      <c r="CV50" s="157" t="s">
        <v>281</v>
      </c>
      <c r="CW50" s="157">
        <v>1</v>
      </c>
      <c r="CX50" s="157">
        <v>2</v>
      </c>
      <c r="CY50" s="157">
        <v>3</v>
      </c>
      <c r="CZ50" s="157">
        <v>4</v>
      </c>
      <c r="DA50" s="157">
        <v>5</v>
      </c>
      <c r="DB50" s="157">
        <v>6</v>
      </c>
      <c r="DC50" s="157">
        <v>7</v>
      </c>
      <c r="DD50" s="157">
        <v>8</v>
      </c>
      <c r="DE50" s="157">
        <v>9</v>
      </c>
      <c r="DF50" s="157">
        <v>10</v>
      </c>
      <c r="DG50" s="157">
        <v>11</v>
      </c>
      <c r="DH50" s="157">
        <v>12</v>
      </c>
      <c r="DI50" s="157">
        <v>13</v>
      </c>
    </row>
    <row r="51" spans="1:113" x14ac:dyDescent="0.2">
      <c r="A51" s="363"/>
      <c r="B51" s="241" t="s">
        <v>283</v>
      </c>
      <c r="C51" s="158">
        <v>22.2</v>
      </c>
      <c r="D51" s="187">
        <v>7.0000000000000001E-3</v>
      </c>
      <c r="E51" s="168">
        <v>1.7999999999999999E-2</v>
      </c>
      <c r="F51" s="191">
        <v>2.5999999999999999E-2</v>
      </c>
      <c r="G51" s="192">
        <v>3.4000000000000002E-2</v>
      </c>
      <c r="H51" s="185">
        <v>3.7999999999999999E-2</v>
      </c>
      <c r="I51" s="184">
        <v>3.9E-2</v>
      </c>
      <c r="J51" s="193">
        <v>3.5999999999999997E-2</v>
      </c>
      <c r="K51" s="167">
        <v>3.3000000000000002E-2</v>
      </c>
      <c r="L51" s="194">
        <v>3.2000000000000001E-2</v>
      </c>
      <c r="M51" s="195">
        <v>3.1E-2</v>
      </c>
      <c r="N51" s="162">
        <v>0.03</v>
      </c>
      <c r="O51" s="175">
        <v>0.03</v>
      </c>
      <c r="P51" s="196">
        <v>2.9000000000000001E-2</v>
      </c>
      <c r="R51" s="241" t="s">
        <v>283</v>
      </c>
      <c r="S51" s="158">
        <v>22.2</v>
      </c>
      <c r="T51" s="187">
        <v>7.0000000000000001E-3</v>
      </c>
      <c r="U51" s="168">
        <v>1.7999999999999999E-2</v>
      </c>
      <c r="V51" s="191">
        <v>2.5999999999999999E-2</v>
      </c>
      <c r="W51" s="192">
        <v>3.4000000000000002E-2</v>
      </c>
      <c r="X51" s="185">
        <v>3.7999999999999999E-2</v>
      </c>
      <c r="Y51" s="184">
        <v>3.9E-2</v>
      </c>
      <c r="Z51" s="193">
        <v>3.5999999999999997E-2</v>
      </c>
      <c r="AA51" s="167">
        <v>3.3000000000000002E-2</v>
      </c>
      <c r="AB51" s="194">
        <v>3.2000000000000001E-2</v>
      </c>
      <c r="AC51" s="195">
        <v>3.1E-2</v>
      </c>
      <c r="AD51" s="162">
        <v>0.03</v>
      </c>
      <c r="AE51" s="175">
        <v>0.03</v>
      </c>
      <c r="AF51" s="196">
        <v>2.9000000000000001E-2</v>
      </c>
      <c r="AH51" s="241" t="s">
        <v>283</v>
      </c>
      <c r="AI51" s="158">
        <v>22.2</v>
      </c>
      <c r="AJ51" s="187">
        <v>7.0000000000000001E-3</v>
      </c>
      <c r="AK51" s="168">
        <v>1.7999999999999999E-2</v>
      </c>
      <c r="AL51" s="191">
        <v>2.5999999999999999E-2</v>
      </c>
      <c r="AM51" s="192">
        <v>3.4000000000000002E-2</v>
      </c>
      <c r="AN51" s="185">
        <v>3.7999999999999999E-2</v>
      </c>
      <c r="AO51" s="184">
        <v>3.9E-2</v>
      </c>
      <c r="AP51" s="193">
        <v>3.5999999999999997E-2</v>
      </c>
      <c r="AQ51" s="167">
        <v>3.3000000000000002E-2</v>
      </c>
      <c r="AR51" s="194">
        <v>3.2000000000000001E-2</v>
      </c>
      <c r="AS51" s="195">
        <v>3.1E-2</v>
      </c>
      <c r="AT51" s="162">
        <v>0.03</v>
      </c>
      <c r="AU51" s="175">
        <v>0.03</v>
      </c>
      <c r="AV51" s="196">
        <v>2.9000000000000001E-2</v>
      </c>
      <c r="AX51" s="241" t="s">
        <v>283</v>
      </c>
      <c r="AY51" s="158">
        <v>22.2</v>
      </c>
      <c r="AZ51" s="187">
        <v>7.0000000000000001E-3</v>
      </c>
      <c r="BA51" s="168">
        <v>1.7999999999999999E-2</v>
      </c>
      <c r="BB51" s="191">
        <v>2.5999999999999999E-2</v>
      </c>
      <c r="BC51" s="192">
        <v>3.4000000000000002E-2</v>
      </c>
      <c r="BD51" s="185">
        <v>3.7999999999999999E-2</v>
      </c>
      <c r="BE51" s="184">
        <v>3.9E-2</v>
      </c>
      <c r="BF51" s="193">
        <v>3.5999999999999997E-2</v>
      </c>
      <c r="BG51" s="167">
        <v>3.3000000000000002E-2</v>
      </c>
      <c r="BH51" s="194">
        <v>3.2000000000000001E-2</v>
      </c>
      <c r="BI51" s="195">
        <v>3.1E-2</v>
      </c>
      <c r="BJ51" s="162">
        <v>0.03</v>
      </c>
      <c r="BK51" s="175">
        <v>0.03</v>
      </c>
      <c r="BL51" s="196">
        <v>2.9000000000000001E-2</v>
      </c>
      <c r="BN51" s="241" t="s">
        <v>283</v>
      </c>
      <c r="BO51" s="158">
        <v>22.2</v>
      </c>
      <c r="BP51" s="187">
        <v>7.0000000000000001E-3</v>
      </c>
      <c r="BQ51" s="168">
        <v>1.7999999999999999E-2</v>
      </c>
      <c r="BR51" s="191">
        <v>2.5999999999999999E-2</v>
      </c>
      <c r="BS51" s="192">
        <v>3.4000000000000002E-2</v>
      </c>
      <c r="BT51" s="185">
        <v>3.7999999999999999E-2</v>
      </c>
      <c r="BU51" s="184">
        <v>3.9E-2</v>
      </c>
      <c r="BV51" s="193">
        <v>3.5999999999999997E-2</v>
      </c>
      <c r="BW51" s="167">
        <v>3.3000000000000002E-2</v>
      </c>
      <c r="BX51" s="194">
        <v>3.2000000000000001E-2</v>
      </c>
      <c r="BY51" s="195">
        <v>3.1E-2</v>
      </c>
      <c r="BZ51" s="162">
        <v>0.03</v>
      </c>
      <c r="CA51" s="175">
        <v>0.03</v>
      </c>
      <c r="CB51" s="196">
        <v>2.9000000000000001E-2</v>
      </c>
      <c r="CD51" s="241" t="s">
        <v>283</v>
      </c>
      <c r="CE51" s="158">
        <v>22.2</v>
      </c>
      <c r="CF51" s="158"/>
      <c r="CG51" s="187">
        <v>7.0000000000000001E-3</v>
      </c>
      <c r="CH51" s="168">
        <v>1.7999999999999999E-2</v>
      </c>
      <c r="CI51" s="191">
        <v>2.5999999999999999E-2</v>
      </c>
      <c r="CJ51" s="192">
        <v>3.4000000000000002E-2</v>
      </c>
      <c r="CK51" s="185">
        <v>3.7999999999999999E-2</v>
      </c>
      <c r="CL51" s="184">
        <v>3.9E-2</v>
      </c>
      <c r="CM51" s="193">
        <v>3.5999999999999997E-2</v>
      </c>
      <c r="CN51" s="167">
        <v>3.3000000000000002E-2</v>
      </c>
      <c r="CO51" s="194">
        <v>3.2000000000000001E-2</v>
      </c>
      <c r="CP51" s="195">
        <v>3.1E-2</v>
      </c>
      <c r="CQ51" s="162">
        <v>0.03</v>
      </c>
      <c r="CR51" s="175">
        <v>0.03</v>
      </c>
      <c r="CS51" s="196">
        <v>2.9000000000000001E-2</v>
      </c>
      <c r="CU51" s="241" t="s">
        <v>283</v>
      </c>
      <c r="CV51" s="158">
        <v>22.2</v>
      </c>
      <c r="CW51" s="187">
        <v>7.0000000000000001E-3</v>
      </c>
      <c r="CX51" s="168">
        <v>1.7999999999999999E-2</v>
      </c>
      <c r="CY51" s="191">
        <v>2.5999999999999999E-2</v>
      </c>
      <c r="CZ51" s="192">
        <v>3.4000000000000002E-2</v>
      </c>
      <c r="DA51" s="185">
        <v>3.7999999999999999E-2</v>
      </c>
      <c r="DB51" s="184">
        <v>3.9E-2</v>
      </c>
      <c r="DC51" s="193">
        <v>3.5999999999999997E-2</v>
      </c>
      <c r="DD51" s="167">
        <v>3.3000000000000002E-2</v>
      </c>
      <c r="DE51" s="194">
        <v>3.2000000000000001E-2</v>
      </c>
      <c r="DF51" s="195">
        <v>3.1E-2</v>
      </c>
      <c r="DG51" s="162">
        <v>0.03</v>
      </c>
      <c r="DH51" s="175">
        <v>0.03</v>
      </c>
      <c r="DI51" s="196">
        <v>2.9000000000000001E-2</v>
      </c>
    </row>
    <row r="52" spans="1:113" x14ac:dyDescent="0.2">
      <c r="A52" s="363"/>
      <c r="B52" s="241" t="s">
        <v>284</v>
      </c>
      <c r="C52" s="158">
        <v>21.8</v>
      </c>
      <c r="D52" s="197">
        <v>6.0000000000000001E-3</v>
      </c>
      <c r="E52" s="198">
        <v>0.02</v>
      </c>
      <c r="F52" s="199">
        <v>2.9000000000000001E-2</v>
      </c>
      <c r="G52" s="200">
        <v>3.4000000000000002E-2</v>
      </c>
      <c r="H52" s="201">
        <v>3.7999999999999999E-2</v>
      </c>
      <c r="I52" s="202">
        <v>3.7999999999999999E-2</v>
      </c>
      <c r="J52" s="166">
        <v>3.5000000000000003E-2</v>
      </c>
      <c r="K52" s="186">
        <v>3.3000000000000002E-2</v>
      </c>
      <c r="L52" s="159">
        <v>3.1E-2</v>
      </c>
      <c r="M52" s="203">
        <v>3.1E-2</v>
      </c>
      <c r="N52" s="204">
        <v>0.03</v>
      </c>
      <c r="O52" s="205">
        <v>2.9000000000000001E-2</v>
      </c>
      <c r="P52" s="158"/>
      <c r="R52" s="241" t="s">
        <v>284</v>
      </c>
      <c r="S52" s="158">
        <v>21.8</v>
      </c>
      <c r="T52" s="197">
        <v>6.0000000000000001E-3</v>
      </c>
      <c r="U52" s="198">
        <v>0.02</v>
      </c>
      <c r="V52" s="199">
        <v>2.9000000000000001E-2</v>
      </c>
      <c r="W52" s="200">
        <v>3.4000000000000002E-2</v>
      </c>
      <c r="X52" s="201">
        <v>3.7999999999999999E-2</v>
      </c>
      <c r="Y52" s="202">
        <v>3.7999999999999999E-2</v>
      </c>
      <c r="Z52" s="166">
        <v>3.5000000000000003E-2</v>
      </c>
      <c r="AA52" s="186">
        <v>3.3000000000000002E-2</v>
      </c>
      <c r="AB52" s="159">
        <v>3.1E-2</v>
      </c>
      <c r="AC52" s="203">
        <v>3.1E-2</v>
      </c>
      <c r="AD52" s="204">
        <v>0.03</v>
      </c>
      <c r="AE52" s="205">
        <v>2.9000000000000001E-2</v>
      </c>
      <c r="AF52" s="158"/>
      <c r="AH52" s="241" t="s">
        <v>284</v>
      </c>
      <c r="AI52" s="158">
        <v>21.8</v>
      </c>
      <c r="AJ52" s="197">
        <v>6.0000000000000001E-3</v>
      </c>
      <c r="AK52" s="198">
        <v>0.02</v>
      </c>
      <c r="AL52" s="199">
        <v>2.9000000000000001E-2</v>
      </c>
      <c r="AM52" s="200">
        <v>3.4000000000000002E-2</v>
      </c>
      <c r="AN52" s="201">
        <v>3.7999999999999999E-2</v>
      </c>
      <c r="AO52" s="202">
        <v>3.7999999999999999E-2</v>
      </c>
      <c r="AP52" s="166">
        <v>3.5000000000000003E-2</v>
      </c>
      <c r="AQ52" s="186">
        <v>3.3000000000000002E-2</v>
      </c>
      <c r="AR52" s="159">
        <v>3.1E-2</v>
      </c>
      <c r="AS52" s="203">
        <v>3.1E-2</v>
      </c>
      <c r="AT52" s="204">
        <v>0.03</v>
      </c>
      <c r="AU52" s="205">
        <v>2.9000000000000001E-2</v>
      </c>
      <c r="AV52" s="158"/>
      <c r="AX52" s="241" t="s">
        <v>284</v>
      </c>
      <c r="AY52" s="158">
        <v>21.8</v>
      </c>
      <c r="AZ52" s="197">
        <v>6.0000000000000001E-3</v>
      </c>
      <c r="BA52" s="198">
        <v>0.02</v>
      </c>
      <c r="BB52" s="199">
        <v>2.9000000000000001E-2</v>
      </c>
      <c r="BC52" s="200">
        <v>3.4000000000000002E-2</v>
      </c>
      <c r="BD52" s="201">
        <v>3.7999999999999999E-2</v>
      </c>
      <c r="BE52" s="202">
        <v>3.7999999999999999E-2</v>
      </c>
      <c r="BF52" s="166">
        <v>3.5000000000000003E-2</v>
      </c>
      <c r="BG52" s="186">
        <v>3.3000000000000002E-2</v>
      </c>
      <c r="BH52" s="159">
        <v>3.1E-2</v>
      </c>
      <c r="BI52" s="203">
        <v>3.1E-2</v>
      </c>
      <c r="BJ52" s="204">
        <v>0.03</v>
      </c>
      <c r="BK52" s="205">
        <v>2.9000000000000001E-2</v>
      </c>
      <c r="BL52" s="158"/>
      <c r="BN52" s="241" t="s">
        <v>284</v>
      </c>
      <c r="BO52" s="158">
        <v>21.8</v>
      </c>
      <c r="BP52" s="197">
        <v>6.0000000000000001E-3</v>
      </c>
      <c r="BQ52" s="198">
        <v>0.02</v>
      </c>
      <c r="BR52" s="199">
        <v>2.9000000000000001E-2</v>
      </c>
      <c r="BS52" s="200">
        <v>3.4000000000000002E-2</v>
      </c>
      <c r="BT52" s="201">
        <v>3.7999999999999999E-2</v>
      </c>
      <c r="BU52" s="202">
        <v>3.7999999999999999E-2</v>
      </c>
      <c r="BV52" s="166">
        <v>3.5000000000000003E-2</v>
      </c>
      <c r="BW52" s="186">
        <v>3.3000000000000002E-2</v>
      </c>
      <c r="BX52" s="159">
        <v>3.1E-2</v>
      </c>
      <c r="BY52" s="203">
        <v>3.1E-2</v>
      </c>
      <c r="BZ52" s="204">
        <v>0.03</v>
      </c>
      <c r="CA52" s="205">
        <v>2.9000000000000001E-2</v>
      </c>
      <c r="CB52" s="158"/>
      <c r="CD52" s="241" t="s">
        <v>284</v>
      </c>
      <c r="CE52" s="158">
        <v>21.8</v>
      </c>
      <c r="CF52" s="158"/>
      <c r="CG52" s="197">
        <v>6.0000000000000001E-3</v>
      </c>
      <c r="CH52" s="198">
        <v>0.02</v>
      </c>
      <c r="CI52" s="199">
        <v>2.9000000000000001E-2</v>
      </c>
      <c r="CJ52" s="200">
        <v>3.4000000000000002E-2</v>
      </c>
      <c r="CK52" s="201">
        <v>3.7999999999999999E-2</v>
      </c>
      <c r="CL52" s="202">
        <v>3.7999999999999999E-2</v>
      </c>
      <c r="CM52" s="166">
        <v>3.5000000000000003E-2</v>
      </c>
      <c r="CN52" s="186">
        <v>3.3000000000000002E-2</v>
      </c>
      <c r="CO52" s="159">
        <v>3.1E-2</v>
      </c>
      <c r="CP52" s="203">
        <v>3.1E-2</v>
      </c>
      <c r="CQ52" s="204">
        <v>0.03</v>
      </c>
      <c r="CR52" s="205">
        <v>2.9000000000000001E-2</v>
      </c>
      <c r="CS52" s="158"/>
      <c r="CU52" s="241" t="s">
        <v>284</v>
      </c>
      <c r="CV52" s="158">
        <v>21.8</v>
      </c>
      <c r="CW52" s="197">
        <v>6.0000000000000001E-3</v>
      </c>
      <c r="CX52" s="198">
        <v>0.02</v>
      </c>
      <c r="CY52" s="199">
        <v>2.9000000000000001E-2</v>
      </c>
      <c r="CZ52" s="200">
        <v>3.4000000000000002E-2</v>
      </c>
      <c r="DA52" s="201">
        <v>3.7999999999999999E-2</v>
      </c>
      <c r="DB52" s="202">
        <v>3.7999999999999999E-2</v>
      </c>
      <c r="DC52" s="166">
        <v>3.5000000000000003E-2</v>
      </c>
      <c r="DD52" s="186">
        <v>3.3000000000000002E-2</v>
      </c>
      <c r="DE52" s="159">
        <v>3.1E-2</v>
      </c>
      <c r="DF52" s="203">
        <v>3.1E-2</v>
      </c>
      <c r="DG52" s="204">
        <v>0.03</v>
      </c>
      <c r="DH52" s="205">
        <v>2.9000000000000001E-2</v>
      </c>
      <c r="DI52" s="158"/>
    </row>
    <row r="53" spans="1:113" x14ac:dyDescent="0.2">
      <c r="A53" s="363"/>
      <c r="B53" s="241" t="s">
        <v>285</v>
      </c>
      <c r="C53" s="158">
        <v>27</v>
      </c>
      <c r="D53" s="206">
        <v>6.0000000000000001E-3</v>
      </c>
      <c r="E53" s="179">
        <v>2.1000000000000001E-2</v>
      </c>
      <c r="F53" s="163">
        <v>2.9000000000000001E-2</v>
      </c>
      <c r="G53" s="166">
        <v>3.5000000000000003E-2</v>
      </c>
      <c r="H53" s="207">
        <v>4.1000000000000002E-2</v>
      </c>
      <c r="I53" s="181">
        <v>4.2000000000000003E-2</v>
      </c>
      <c r="J53" s="170">
        <v>0.04</v>
      </c>
      <c r="K53" s="208">
        <v>3.6999999999999998E-2</v>
      </c>
      <c r="L53" s="161">
        <v>3.5999999999999997E-2</v>
      </c>
      <c r="M53" s="165">
        <v>3.4000000000000002E-2</v>
      </c>
      <c r="N53" s="167">
        <v>3.3000000000000002E-2</v>
      </c>
      <c r="O53" s="158"/>
      <c r="P53" s="158"/>
      <c r="R53" s="241" t="s">
        <v>285</v>
      </c>
      <c r="S53" s="158">
        <v>27</v>
      </c>
      <c r="T53" s="206">
        <v>6.0000000000000001E-3</v>
      </c>
      <c r="U53" s="179">
        <v>2.1000000000000001E-2</v>
      </c>
      <c r="V53" s="163">
        <v>2.9000000000000001E-2</v>
      </c>
      <c r="W53" s="166">
        <v>3.5000000000000003E-2</v>
      </c>
      <c r="X53" s="207">
        <v>4.1000000000000002E-2</v>
      </c>
      <c r="Y53" s="181">
        <v>4.2000000000000003E-2</v>
      </c>
      <c r="Z53" s="170">
        <v>0.04</v>
      </c>
      <c r="AA53" s="208">
        <v>3.6999999999999998E-2</v>
      </c>
      <c r="AB53" s="161">
        <v>3.5999999999999997E-2</v>
      </c>
      <c r="AC53" s="165">
        <v>3.4000000000000002E-2</v>
      </c>
      <c r="AD53" s="167">
        <v>3.3000000000000002E-2</v>
      </c>
      <c r="AE53" s="158"/>
      <c r="AF53" s="158"/>
      <c r="AH53" s="241" t="s">
        <v>285</v>
      </c>
      <c r="AI53" s="158">
        <v>27</v>
      </c>
      <c r="AJ53" s="206">
        <v>6.0000000000000001E-3</v>
      </c>
      <c r="AK53" s="179">
        <v>2.1000000000000001E-2</v>
      </c>
      <c r="AL53" s="163">
        <v>2.9000000000000001E-2</v>
      </c>
      <c r="AM53" s="166">
        <v>3.5000000000000003E-2</v>
      </c>
      <c r="AN53" s="207">
        <v>4.1000000000000002E-2</v>
      </c>
      <c r="AO53" s="181">
        <v>4.2000000000000003E-2</v>
      </c>
      <c r="AP53" s="170">
        <v>0.04</v>
      </c>
      <c r="AQ53" s="208">
        <v>3.6999999999999998E-2</v>
      </c>
      <c r="AR53" s="161">
        <v>3.5999999999999997E-2</v>
      </c>
      <c r="AS53" s="165">
        <v>3.4000000000000002E-2</v>
      </c>
      <c r="AT53" s="167">
        <v>3.3000000000000002E-2</v>
      </c>
      <c r="AU53" s="158"/>
      <c r="AV53" s="158"/>
      <c r="AX53" s="241" t="s">
        <v>285</v>
      </c>
      <c r="AY53" s="158">
        <v>27</v>
      </c>
      <c r="AZ53" s="206">
        <v>6.0000000000000001E-3</v>
      </c>
      <c r="BA53" s="179">
        <v>2.1000000000000001E-2</v>
      </c>
      <c r="BB53" s="163">
        <v>2.9000000000000001E-2</v>
      </c>
      <c r="BC53" s="166">
        <v>3.5000000000000003E-2</v>
      </c>
      <c r="BD53" s="207">
        <v>4.1000000000000002E-2</v>
      </c>
      <c r="BE53" s="181">
        <v>4.2000000000000003E-2</v>
      </c>
      <c r="BF53" s="170">
        <v>0.04</v>
      </c>
      <c r="BG53" s="208">
        <v>3.6999999999999998E-2</v>
      </c>
      <c r="BH53" s="161">
        <v>3.5999999999999997E-2</v>
      </c>
      <c r="BI53" s="165">
        <v>3.4000000000000002E-2</v>
      </c>
      <c r="BJ53" s="167">
        <v>3.3000000000000002E-2</v>
      </c>
      <c r="BK53" s="158"/>
      <c r="BL53" s="158"/>
      <c r="BN53" s="241" t="s">
        <v>285</v>
      </c>
      <c r="BO53" s="158">
        <v>27</v>
      </c>
      <c r="BP53" s="206">
        <v>6.0000000000000001E-3</v>
      </c>
      <c r="BQ53" s="179">
        <v>2.1000000000000001E-2</v>
      </c>
      <c r="BR53" s="163">
        <v>2.9000000000000001E-2</v>
      </c>
      <c r="BS53" s="166">
        <v>3.5000000000000003E-2</v>
      </c>
      <c r="BT53" s="207">
        <v>4.1000000000000002E-2</v>
      </c>
      <c r="BU53" s="181">
        <v>4.2000000000000003E-2</v>
      </c>
      <c r="BV53" s="170">
        <v>0.04</v>
      </c>
      <c r="BW53" s="208">
        <v>3.6999999999999998E-2</v>
      </c>
      <c r="BX53" s="161">
        <v>3.5999999999999997E-2</v>
      </c>
      <c r="BY53" s="165">
        <v>3.4000000000000002E-2</v>
      </c>
      <c r="BZ53" s="167">
        <v>3.3000000000000002E-2</v>
      </c>
      <c r="CA53" s="158"/>
      <c r="CB53" s="158"/>
      <c r="CD53" s="241" t="s">
        <v>285</v>
      </c>
      <c r="CE53" s="158">
        <v>27</v>
      </c>
      <c r="CF53" s="158"/>
      <c r="CG53" s="206">
        <v>6.0000000000000001E-3</v>
      </c>
      <c r="CH53" s="179">
        <v>2.1000000000000001E-2</v>
      </c>
      <c r="CI53" s="163">
        <v>2.9000000000000001E-2</v>
      </c>
      <c r="CJ53" s="166">
        <v>3.5000000000000003E-2</v>
      </c>
      <c r="CK53" s="207">
        <v>4.1000000000000002E-2</v>
      </c>
      <c r="CL53" s="181">
        <v>4.2000000000000003E-2</v>
      </c>
      <c r="CM53" s="170">
        <v>0.04</v>
      </c>
      <c r="CN53" s="208">
        <v>3.6999999999999998E-2</v>
      </c>
      <c r="CO53" s="161">
        <v>3.5999999999999997E-2</v>
      </c>
      <c r="CP53" s="165">
        <v>3.4000000000000002E-2</v>
      </c>
      <c r="CQ53" s="167">
        <v>3.3000000000000002E-2</v>
      </c>
      <c r="CR53" s="158"/>
      <c r="CS53" s="158"/>
      <c r="CU53" s="241" t="s">
        <v>285</v>
      </c>
      <c r="CV53" s="158">
        <v>27</v>
      </c>
      <c r="CW53" s="206">
        <v>6.0000000000000001E-3</v>
      </c>
      <c r="CX53" s="179">
        <v>2.1000000000000001E-2</v>
      </c>
      <c r="CY53" s="163">
        <v>2.9000000000000001E-2</v>
      </c>
      <c r="CZ53" s="166">
        <v>3.5000000000000003E-2</v>
      </c>
      <c r="DA53" s="207">
        <v>4.1000000000000002E-2</v>
      </c>
      <c r="DB53" s="181">
        <v>4.2000000000000003E-2</v>
      </c>
      <c r="DC53" s="170">
        <v>0.04</v>
      </c>
      <c r="DD53" s="208">
        <v>3.6999999999999998E-2</v>
      </c>
      <c r="DE53" s="161">
        <v>3.5999999999999997E-2</v>
      </c>
      <c r="DF53" s="165">
        <v>3.4000000000000002E-2</v>
      </c>
      <c r="DG53" s="167">
        <v>3.3000000000000002E-2</v>
      </c>
      <c r="DH53" s="158"/>
      <c r="DI53" s="158"/>
    </row>
    <row r="54" spans="1:113" x14ac:dyDescent="0.2">
      <c r="A54" s="363"/>
      <c r="B54" s="241" t="s">
        <v>286</v>
      </c>
      <c r="C54" s="169">
        <v>27.5</v>
      </c>
      <c r="D54" s="177">
        <v>6.0000000000000001E-3</v>
      </c>
      <c r="E54" s="198">
        <v>0.02</v>
      </c>
      <c r="F54" s="209">
        <v>3.2000000000000001E-2</v>
      </c>
      <c r="G54" s="182">
        <v>0.04</v>
      </c>
      <c r="H54" s="172">
        <v>4.2999999999999997E-2</v>
      </c>
      <c r="I54" s="210">
        <v>4.2999999999999997E-2</v>
      </c>
      <c r="J54" s="211">
        <v>4.1000000000000002E-2</v>
      </c>
      <c r="K54" s="201">
        <v>3.7999999999999999E-2</v>
      </c>
      <c r="L54" s="174">
        <v>3.6999999999999998E-2</v>
      </c>
      <c r="M54" s="166">
        <v>3.5000000000000003E-2</v>
      </c>
      <c r="N54" s="158"/>
      <c r="O54" s="158"/>
      <c r="P54" s="158"/>
      <c r="R54" s="241" t="s">
        <v>286</v>
      </c>
      <c r="S54" s="169">
        <v>27.5</v>
      </c>
      <c r="T54" s="177">
        <v>6.0000000000000001E-3</v>
      </c>
      <c r="U54" s="198">
        <v>0.02</v>
      </c>
      <c r="V54" s="209">
        <v>3.2000000000000001E-2</v>
      </c>
      <c r="W54" s="182">
        <v>0.04</v>
      </c>
      <c r="X54" s="172">
        <v>4.2999999999999997E-2</v>
      </c>
      <c r="Y54" s="210">
        <v>4.2999999999999997E-2</v>
      </c>
      <c r="Z54" s="211">
        <v>4.1000000000000002E-2</v>
      </c>
      <c r="AA54" s="201">
        <v>3.7999999999999999E-2</v>
      </c>
      <c r="AB54" s="174">
        <v>3.6999999999999998E-2</v>
      </c>
      <c r="AC54" s="166">
        <v>3.5000000000000003E-2</v>
      </c>
      <c r="AD54" s="158"/>
      <c r="AE54" s="158"/>
      <c r="AF54" s="158"/>
      <c r="AH54" s="241" t="s">
        <v>286</v>
      </c>
      <c r="AI54" s="169">
        <v>27.5</v>
      </c>
      <c r="AJ54" s="177">
        <v>6.0000000000000001E-3</v>
      </c>
      <c r="AK54" s="198">
        <v>0.02</v>
      </c>
      <c r="AL54" s="209">
        <v>3.2000000000000001E-2</v>
      </c>
      <c r="AM54" s="182">
        <v>0.04</v>
      </c>
      <c r="AN54" s="172">
        <v>4.2999999999999997E-2</v>
      </c>
      <c r="AO54" s="210">
        <v>4.2999999999999997E-2</v>
      </c>
      <c r="AP54" s="211">
        <v>4.1000000000000002E-2</v>
      </c>
      <c r="AQ54" s="201">
        <v>3.7999999999999999E-2</v>
      </c>
      <c r="AR54" s="174">
        <v>3.6999999999999998E-2</v>
      </c>
      <c r="AS54" s="166">
        <v>3.5000000000000003E-2</v>
      </c>
      <c r="AT54" s="158"/>
      <c r="AU54" s="158"/>
      <c r="AV54" s="158"/>
      <c r="AX54" s="241" t="s">
        <v>286</v>
      </c>
      <c r="AY54" s="169">
        <v>27.5</v>
      </c>
      <c r="AZ54" s="177">
        <v>6.0000000000000001E-3</v>
      </c>
      <c r="BA54" s="198">
        <v>0.02</v>
      </c>
      <c r="BB54" s="209">
        <v>3.2000000000000001E-2</v>
      </c>
      <c r="BC54" s="182">
        <v>0.04</v>
      </c>
      <c r="BD54" s="172">
        <v>4.2999999999999997E-2</v>
      </c>
      <c r="BE54" s="210">
        <v>4.2999999999999997E-2</v>
      </c>
      <c r="BF54" s="211">
        <v>4.1000000000000002E-2</v>
      </c>
      <c r="BG54" s="201">
        <v>3.7999999999999999E-2</v>
      </c>
      <c r="BH54" s="174">
        <v>3.6999999999999998E-2</v>
      </c>
      <c r="BI54" s="166">
        <v>3.5000000000000003E-2</v>
      </c>
      <c r="BJ54" s="158"/>
      <c r="BK54" s="158"/>
      <c r="BL54" s="158"/>
      <c r="BN54" s="241" t="s">
        <v>286</v>
      </c>
      <c r="BO54" s="169">
        <v>27.5</v>
      </c>
      <c r="BP54" s="177">
        <v>6.0000000000000001E-3</v>
      </c>
      <c r="BQ54" s="198">
        <v>0.02</v>
      </c>
      <c r="BR54" s="209">
        <v>3.2000000000000001E-2</v>
      </c>
      <c r="BS54" s="182">
        <v>0.04</v>
      </c>
      <c r="BT54" s="172">
        <v>4.2999999999999997E-2</v>
      </c>
      <c r="BU54" s="210">
        <v>4.2999999999999997E-2</v>
      </c>
      <c r="BV54" s="211">
        <v>4.1000000000000002E-2</v>
      </c>
      <c r="BW54" s="201">
        <v>3.7999999999999999E-2</v>
      </c>
      <c r="BX54" s="174">
        <v>3.6999999999999998E-2</v>
      </c>
      <c r="BY54" s="166">
        <v>3.5000000000000003E-2</v>
      </c>
      <c r="BZ54" s="158"/>
      <c r="CA54" s="158"/>
      <c r="CB54" s="158"/>
      <c r="CD54" s="241" t="s">
        <v>286</v>
      </c>
      <c r="CE54" s="169">
        <v>27.5</v>
      </c>
      <c r="CF54" s="169"/>
      <c r="CG54" s="177">
        <v>6.0000000000000001E-3</v>
      </c>
      <c r="CH54" s="198">
        <v>0.02</v>
      </c>
      <c r="CI54" s="209">
        <v>3.2000000000000001E-2</v>
      </c>
      <c r="CJ54" s="182">
        <v>0.04</v>
      </c>
      <c r="CK54" s="172">
        <v>4.2999999999999997E-2</v>
      </c>
      <c r="CL54" s="210">
        <v>4.2999999999999997E-2</v>
      </c>
      <c r="CM54" s="211">
        <v>4.1000000000000002E-2</v>
      </c>
      <c r="CN54" s="201">
        <v>3.7999999999999999E-2</v>
      </c>
      <c r="CO54" s="174">
        <v>3.6999999999999998E-2</v>
      </c>
      <c r="CP54" s="166">
        <v>3.5000000000000003E-2</v>
      </c>
      <c r="CQ54" s="158"/>
      <c r="CR54" s="158"/>
      <c r="CS54" s="158"/>
      <c r="CU54" s="241" t="s">
        <v>286</v>
      </c>
      <c r="CV54" s="169">
        <v>27.5</v>
      </c>
      <c r="CW54" s="177">
        <v>6.0000000000000001E-3</v>
      </c>
      <c r="CX54" s="198">
        <v>0.02</v>
      </c>
      <c r="CY54" s="209">
        <v>3.2000000000000001E-2</v>
      </c>
      <c r="CZ54" s="182">
        <v>0.04</v>
      </c>
      <c r="DA54" s="172">
        <v>4.2999999999999997E-2</v>
      </c>
      <c r="DB54" s="210">
        <v>4.2999999999999997E-2</v>
      </c>
      <c r="DC54" s="211">
        <v>4.1000000000000002E-2</v>
      </c>
      <c r="DD54" s="201">
        <v>3.7999999999999999E-2</v>
      </c>
      <c r="DE54" s="174">
        <v>3.6999999999999998E-2</v>
      </c>
      <c r="DF54" s="166">
        <v>3.5000000000000003E-2</v>
      </c>
      <c r="DG54" s="158"/>
      <c r="DH54" s="158"/>
      <c r="DI54" s="158"/>
    </row>
    <row r="55" spans="1:113" x14ac:dyDescent="0.2">
      <c r="A55" s="363"/>
      <c r="B55" s="241" t="s">
        <v>287</v>
      </c>
      <c r="C55" s="169">
        <v>31.8</v>
      </c>
      <c r="D55" s="188">
        <v>7.0000000000000001E-3</v>
      </c>
      <c r="E55" s="212">
        <v>2.3E-2</v>
      </c>
      <c r="F55" s="190">
        <v>3.3000000000000002E-2</v>
      </c>
      <c r="G55" s="184">
        <v>3.9E-2</v>
      </c>
      <c r="H55" s="213">
        <v>4.3999999999999997E-2</v>
      </c>
      <c r="I55" s="210">
        <v>4.2999999999999997E-2</v>
      </c>
      <c r="J55" s="214">
        <v>4.2000000000000003E-2</v>
      </c>
      <c r="K55" s="173">
        <v>3.9E-2</v>
      </c>
      <c r="L55" s="174">
        <v>3.6999999999999998E-2</v>
      </c>
      <c r="M55" s="158"/>
      <c r="N55" s="158"/>
      <c r="O55" s="158"/>
      <c r="P55" s="158"/>
      <c r="R55" s="241" t="s">
        <v>287</v>
      </c>
      <c r="S55" s="169">
        <v>31.8</v>
      </c>
      <c r="T55" s="188">
        <v>7.0000000000000001E-3</v>
      </c>
      <c r="U55" s="212">
        <v>2.3E-2</v>
      </c>
      <c r="V55" s="190">
        <v>3.3000000000000002E-2</v>
      </c>
      <c r="W55" s="184">
        <v>3.9E-2</v>
      </c>
      <c r="X55" s="213">
        <v>4.3999999999999997E-2</v>
      </c>
      <c r="Y55" s="210">
        <v>4.2999999999999997E-2</v>
      </c>
      <c r="Z55" s="214">
        <v>4.2000000000000003E-2</v>
      </c>
      <c r="AA55" s="173">
        <v>3.9E-2</v>
      </c>
      <c r="AB55" s="174">
        <v>3.6999999999999998E-2</v>
      </c>
      <c r="AC55" s="158"/>
      <c r="AD55" s="158"/>
      <c r="AE55" s="158"/>
      <c r="AF55" s="158"/>
      <c r="AH55" s="241" t="s">
        <v>287</v>
      </c>
      <c r="AI55" s="169">
        <v>31.8</v>
      </c>
      <c r="AJ55" s="188">
        <v>7.0000000000000001E-3</v>
      </c>
      <c r="AK55" s="212">
        <v>2.3E-2</v>
      </c>
      <c r="AL55" s="190">
        <v>3.3000000000000002E-2</v>
      </c>
      <c r="AM55" s="184">
        <v>3.9E-2</v>
      </c>
      <c r="AN55" s="213">
        <v>4.3999999999999997E-2</v>
      </c>
      <c r="AO55" s="210">
        <v>4.2999999999999997E-2</v>
      </c>
      <c r="AP55" s="214">
        <v>4.2000000000000003E-2</v>
      </c>
      <c r="AQ55" s="173">
        <v>3.9E-2</v>
      </c>
      <c r="AR55" s="174">
        <v>3.6999999999999998E-2</v>
      </c>
      <c r="AS55" s="158"/>
      <c r="AT55" s="158"/>
      <c r="AU55" s="158"/>
      <c r="AV55" s="158"/>
      <c r="AX55" s="241" t="s">
        <v>287</v>
      </c>
      <c r="AY55" s="169">
        <v>31.8</v>
      </c>
      <c r="AZ55" s="188">
        <v>7.0000000000000001E-3</v>
      </c>
      <c r="BA55" s="212">
        <v>2.3E-2</v>
      </c>
      <c r="BB55" s="190">
        <v>3.3000000000000002E-2</v>
      </c>
      <c r="BC55" s="184">
        <v>3.9E-2</v>
      </c>
      <c r="BD55" s="213">
        <v>4.3999999999999997E-2</v>
      </c>
      <c r="BE55" s="210">
        <v>4.2999999999999997E-2</v>
      </c>
      <c r="BF55" s="214">
        <v>4.2000000000000003E-2</v>
      </c>
      <c r="BG55" s="173">
        <v>3.9E-2</v>
      </c>
      <c r="BH55" s="174">
        <v>3.6999999999999998E-2</v>
      </c>
      <c r="BI55" s="158"/>
      <c r="BJ55" s="158"/>
      <c r="BK55" s="158"/>
      <c r="BL55" s="158"/>
      <c r="BN55" s="241" t="s">
        <v>287</v>
      </c>
      <c r="BO55" s="169">
        <v>31.8</v>
      </c>
      <c r="BP55" s="188">
        <v>7.0000000000000001E-3</v>
      </c>
      <c r="BQ55" s="212">
        <v>2.3E-2</v>
      </c>
      <c r="BR55" s="190">
        <v>3.3000000000000002E-2</v>
      </c>
      <c r="BS55" s="184">
        <v>3.9E-2</v>
      </c>
      <c r="BT55" s="213">
        <v>4.3999999999999997E-2</v>
      </c>
      <c r="BU55" s="210">
        <v>4.2999999999999997E-2</v>
      </c>
      <c r="BV55" s="214">
        <v>4.2000000000000003E-2</v>
      </c>
      <c r="BW55" s="173">
        <v>3.9E-2</v>
      </c>
      <c r="BX55" s="174">
        <v>3.6999999999999998E-2</v>
      </c>
      <c r="BY55" s="158"/>
      <c r="BZ55" s="158"/>
      <c r="CA55" s="158"/>
      <c r="CB55" s="158"/>
      <c r="CD55" s="241" t="s">
        <v>287</v>
      </c>
      <c r="CE55" s="169">
        <v>31.8</v>
      </c>
      <c r="CF55" s="169"/>
      <c r="CG55" s="188">
        <v>7.0000000000000001E-3</v>
      </c>
      <c r="CH55" s="212">
        <v>2.3E-2</v>
      </c>
      <c r="CI55" s="190">
        <v>3.3000000000000002E-2</v>
      </c>
      <c r="CJ55" s="184">
        <v>3.9E-2</v>
      </c>
      <c r="CK55" s="213">
        <v>4.3999999999999997E-2</v>
      </c>
      <c r="CL55" s="210">
        <v>4.2999999999999997E-2</v>
      </c>
      <c r="CM55" s="214">
        <v>4.2000000000000003E-2</v>
      </c>
      <c r="CN55" s="173">
        <v>3.9E-2</v>
      </c>
      <c r="CO55" s="174">
        <v>3.6999999999999998E-2</v>
      </c>
      <c r="CP55" s="158"/>
      <c r="CQ55" s="158"/>
      <c r="CR55" s="158"/>
      <c r="CS55" s="158"/>
      <c r="CU55" s="241" t="s">
        <v>287</v>
      </c>
      <c r="CV55" s="169">
        <v>31.8</v>
      </c>
      <c r="CW55" s="188">
        <v>7.0000000000000001E-3</v>
      </c>
      <c r="CX55" s="212">
        <v>2.3E-2</v>
      </c>
      <c r="CY55" s="190">
        <v>3.3000000000000002E-2</v>
      </c>
      <c r="CZ55" s="184">
        <v>3.9E-2</v>
      </c>
      <c r="DA55" s="213">
        <v>4.3999999999999997E-2</v>
      </c>
      <c r="DB55" s="210">
        <v>4.2999999999999997E-2</v>
      </c>
      <c r="DC55" s="214">
        <v>4.2000000000000003E-2</v>
      </c>
      <c r="DD55" s="173">
        <v>3.9E-2</v>
      </c>
      <c r="DE55" s="174">
        <v>3.6999999999999998E-2</v>
      </c>
      <c r="DF55" s="158"/>
      <c r="DG55" s="158"/>
      <c r="DH55" s="158"/>
      <c r="DI55" s="158"/>
    </row>
    <row r="56" spans="1:113" x14ac:dyDescent="0.2">
      <c r="A56" s="363"/>
      <c r="B56" s="241" t="s">
        <v>288</v>
      </c>
      <c r="C56" s="169">
        <v>32.799999999999997</v>
      </c>
      <c r="D56" s="215">
        <v>8.9999999999999993E-3</v>
      </c>
      <c r="E56" s="216">
        <v>2.7E-2</v>
      </c>
      <c r="F56" s="193">
        <v>3.5999999999999997E-2</v>
      </c>
      <c r="G56" s="213">
        <v>4.3999999999999997E-2</v>
      </c>
      <c r="H56" s="217">
        <v>4.8000000000000001E-2</v>
      </c>
      <c r="I56" s="218">
        <v>4.9000000000000002E-2</v>
      </c>
      <c r="J56" s="171">
        <v>4.7E-2</v>
      </c>
      <c r="K56" s="213">
        <v>4.3999999999999997E-2</v>
      </c>
      <c r="L56" s="158"/>
      <c r="M56" s="158"/>
      <c r="N56" s="158"/>
      <c r="O56" s="158"/>
      <c r="P56" s="158"/>
      <c r="R56" s="241" t="s">
        <v>288</v>
      </c>
      <c r="S56" s="169">
        <v>32.799999999999997</v>
      </c>
      <c r="T56" s="215">
        <v>8.9999999999999993E-3</v>
      </c>
      <c r="U56" s="216">
        <v>2.7E-2</v>
      </c>
      <c r="V56" s="193">
        <v>3.5999999999999997E-2</v>
      </c>
      <c r="W56" s="213">
        <v>4.3999999999999997E-2</v>
      </c>
      <c r="X56" s="217">
        <v>4.8000000000000001E-2</v>
      </c>
      <c r="Y56" s="218">
        <v>4.9000000000000002E-2</v>
      </c>
      <c r="Z56" s="171">
        <v>4.7E-2</v>
      </c>
      <c r="AA56" s="213">
        <v>4.3999999999999997E-2</v>
      </c>
      <c r="AB56" s="158"/>
      <c r="AC56" s="158"/>
      <c r="AD56" s="158"/>
      <c r="AE56" s="158"/>
      <c r="AF56" s="158"/>
      <c r="AH56" s="241" t="s">
        <v>288</v>
      </c>
      <c r="AI56" s="169">
        <v>32.799999999999997</v>
      </c>
      <c r="AJ56" s="215">
        <v>8.9999999999999993E-3</v>
      </c>
      <c r="AK56" s="216">
        <v>2.7E-2</v>
      </c>
      <c r="AL56" s="193">
        <v>3.5999999999999997E-2</v>
      </c>
      <c r="AM56" s="213">
        <v>4.3999999999999997E-2</v>
      </c>
      <c r="AN56" s="217">
        <v>4.8000000000000001E-2</v>
      </c>
      <c r="AO56" s="218">
        <v>4.9000000000000002E-2</v>
      </c>
      <c r="AP56" s="171">
        <v>4.7E-2</v>
      </c>
      <c r="AQ56" s="213">
        <v>4.3999999999999997E-2</v>
      </c>
      <c r="AR56" s="158"/>
      <c r="AS56" s="158"/>
      <c r="AT56" s="158"/>
      <c r="AU56" s="158"/>
      <c r="AV56" s="158"/>
      <c r="AX56" s="241" t="s">
        <v>288</v>
      </c>
      <c r="AY56" s="169">
        <v>32.799999999999997</v>
      </c>
      <c r="AZ56" s="215">
        <v>8.9999999999999993E-3</v>
      </c>
      <c r="BA56" s="216">
        <v>2.7E-2</v>
      </c>
      <c r="BB56" s="193">
        <v>3.5999999999999997E-2</v>
      </c>
      <c r="BC56" s="213">
        <v>4.3999999999999997E-2</v>
      </c>
      <c r="BD56" s="217">
        <v>4.8000000000000001E-2</v>
      </c>
      <c r="BE56" s="218">
        <v>4.9000000000000002E-2</v>
      </c>
      <c r="BF56" s="171">
        <v>4.7E-2</v>
      </c>
      <c r="BG56" s="213">
        <v>4.3999999999999997E-2</v>
      </c>
      <c r="BH56" s="158"/>
      <c r="BI56" s="158"/>
      <c r="BJ56" s="158"/>
      <c r="BK56" s="158"/>
      <c r="BL56" s="158"/>
      <c r="BN56" s="241" t="s">
        <v>288</v>
      </c>
      <c r="BO56" s="169">
        <v>32.799999999999997</v>
      </c>
      <c r="BP56" s="215">
        <v>8.9999999999999993E-3</v>
      </c>
      <c r="BQ56" s="216">
        <v>2.7E-2</v>
      </c>
      <c r="BR56" s="193">
        <v>3.5999999999999997E-2</v>
      </c>
      <c r="BS56" s="213">
        <v>4.3999999999999997E-2</v>
      </c>
      <c r="BT56" s="217">
        <v>4.8000000000000001E-2</v>
      </c>
      <c r="BU56" s="218">
        <v>4.9000000000000002E-2</v>
      </c>
      <c r="BV56" s="171">
        <v>4.7E-2</v>
      </c>
      <c r="BW56" s="213">
        <v>4.3999999999999997E-2</v>
      </c>
      <c r="BX56" s="158"/>
      <c r="BY56" s="158"/>
      <c r="BZ56" s="158"/>
      <c r="CA56" s="158"/>
      <c r="CB56" s="158"/>
      <c r="CD56" s="241" t="s">
        <v>288</v>
      </c>
      <c r="CE56" s="169">
        <v>32.799999999999997</v>
      </c>
      <c r="CF56" s="169"/>
      <c r="CG56" s="215">
        <v>8.9999999999999993E-3</v>
      </c>
      <c r="CH56" s="216">
        <v>2.7E-2</v>
      </c>
      <c r="CI56" s="193">
        <v>3.5999999999999997E-2</v>
      </c>
      <c r="CJ56" s="213">
        <v>4.3999999999999997E-2</v>
      </c>
      <c r="CK56" s="217">
        <v>4.8000000000000001E-2</v>
      </c>
      <c r="CL56" s="218">
        <v>4.9000000000000002E-2</v>
      </c>
      <c r="CM56" s="171">
        <v>4.7E-2</v>
      </c>
      <c r="CN56" s="213">
        <v>4.3999999999999997E-2</v>
      </c>
      <c r="CO56" s="158"/>
      <c r="CP56" s="158"/>
      <c r="CQ56" s="158"/>
      <c r="CR56" s="158"/>
      <c r="CS56" s="158"/>
      <c r="CU56" s="241" t="s">
        <v>288</v>
      </c>
      <c r="CV56" s="169">
        <v>32.799999999999997</v>
      </c>
      <c r="CW56" s="215">
        <v>8.9999999999999993E-3</v>
      </c>
      <c r="CX56" s="216">
        <v>2.7E-2</v>
      </c>
      <c r="CY56" s="193">
        <v>3.5999999999999997E-2</v>
      </c>
      <c r="CZ56" s="213">
        <v>4.3999999999999997E-2</v>
      </c>
      <c r="DA56" s="217">
        <v>4.8000000000000001E-2</v>
      </c>
      <c r="DB56" s="218">
        <v>4.9000000000000002E-2</v>
      </c>
      <c r="DC56" s="171">
        <v>4.7E-2</v>
      </c>
      <c r="DD56" s="213">
        <v>4.3999999999999997E-2</v>
      </c>
      <c r="DE56" s="158"/>
      <c r="DF56" s="158"/>
      <c r="DG56" s="158"/>
      <c r="DH56" s="158"/>
      <c r="DI56" s="158"/>
    </row>
    <row r="57" spans="1:113" x14ac:dyDescent="0.2">
      <c r="A57" s="363"/>
      <c r="B57" s="241" t="s">
        <v>289</v>
      </c>
      <c r="C57" s="169">
        <v>32.6</v>
      </c>
      <c r="D57" s="183">
        <v>8.0000000000000002E-3</v>
      </c>
      <c r="E57" s="178">
        <v>2.4E-2</v>
      </c>
      <c r="F57" s="189">
        <v>3.5000000000000003E-2</v>
      </c>
      <c r="G57" s="180">
        <v>4.2999999999999997E-2</v>
      </c>
      <c r="H57" s="219">
        <v>4.7E-2</v>
      </c>
      <c r="I57" s="220">
        <v>4.8000000000000001E-2</v>
      </c>
      <c r="J57" s="221">
        <v>4.5999999999999999E-2</v>
      </c>
      <c r="K57" s="158"/>
      <c r="L57" s="158"/>
      <c r="M57" s="158"/>
      <c r="N57" s="158"/>
      <c r="O57" s="158"/>
      <c r="P57" s="158"/>
      <c r="R57" s="241" t="s">
        <v>289</v>
      </c>
      <c r="S57" s="169">
        <v>32.6</v>
      </c>
      <c r="T57" s="183">
        <v>8.0000000000000002E-3</v>
      </c>
      <c r="U57" s="178">
        <v>2.4E-2</v>
      </c>
      <c r="V57" s="189">
        <v>3.5000000000000003E-2</v>
      </c>
      <c r="W57" s="180">
        <v>4.2999999999999997E-2</v>
      </c>
      <c r="X57" s="219">
        <v>4.7E-2</v>
      </c>
      <c r="Y57" s="220">
        <v>4.8000000000000001E-2</v>
      </c>
      <c r="Z57" s="221">
        <v>4.5999999999999999E-2</v>
      </c>
      <c r="AA57" s="158"/>
      <c r="AB57" s="158"/>
      <c r="AC57" s="158"/>
      <c r="AD57" s="158"/>
      <c r="AE57" s="158"/>
      <c r="AF57" s="158"/>
      <c r="AH57" s="241" t="s">
        <v>289</v>
      </c>
      <c r="AI57" s="169">
        <v>32.6</v>
      </c>
      <c r="AJ57" s="183">
        <v>8.0000000000000002E-3</v>
      </c>
      <c r="AK57" s="178">
        <v>2.4E-2</v>
      </c>
      <c r="AL57" s="189">
        <v>3.5000000000000003E-2</v>
      </c>
      <c r="AM57" s="180">
        <v>4.2999999999999997E-2</v>
      </c>
      <c r="AN57" s="219">
        <v>4.7E-2</v>
      </c>
      <c r="AO57" s="220">
        <v>4.8000000000000001E-2</v>
      </c>
      <c r="AP57" s="221">
        <v>4.5999999999999999E-2</v>
      </c>
      <c r="AQ57" s="158"/>
      <c r="AR57" s="158"/>
      <c r="AS57" s="158"/>
      <c r="AT57" s="158"/>
      <c r="AU57" s="158"/>
      <c r="AV57" s="158"/>
      <c r="AX57" s="241" t="s">
        <v>289</v>
      </c>
      <c r="AY57" s="169">
        <v>32.6</v>
      </c>
      <c r="AZ57" s="183">
        <v>8.0000000000000002E-3</v>
      </c>
      <c r="BA57" s="178">
        <v>2.4E-2</v>
      </c>
      <c r="BB57" s="189">
        <v>3.5000000000000003E-2</v>
      </c>
      <c r="BC57" s="180">
        <v>4.2999999999999997E-2</v>
      </c>
      <c r="BD57" s="219">
        <v>4.7E-2</v>
      </c>
      <c r="BE57" s="220">
        <v>4.8000000000000001E-2</v>
      </c>
      <c r="BF57" s="221">
        <v>4.5999999999999999E-2</v>
      </c>
      <c r="BG57" s="158"/>
      <c r="BH57" s="158"/>
      <c r="BI57" s="158"/>
      <c r="BJ57" s="158"/>
      <c r="BK57" s="158"/>
      <c r="BL57" s="158"/>
      <c r="BN57" s="241" t="s">
        <v>289</v>
      </c>
      <c r="BO57" s="169">
        <v>32.6</v>
      </c>
      <c r="BP57" s="183">
        <v>8.0000000000000002E-3</v>
      </c>
      <c r="BQ57" s="178">
        <v>2.4E-2</v>
      </c>
      <c r="BR57" s="189">
        <v>3.5000000000000003E-2</v>
      </c>
      <c r="BS57" s="180">
        <v>4.2999999999999997E-2</v>
      </c>
      <c r="BT57" s="219">
        <v>4.7E-2</v>
      </c>
      <c r="BU57" s="220">
        <v>4.8000000000000001E-2</v>
      </c>
      <c r="BV57" s="221">
        <v>4.5999999999999999E-2</v>
      </c>
      <c r="BW57" s="158"/>
      <c r="BX57" s="158"/>
      <c r="BY57" s="158"/>
      <c r="BZ57" s="158"/>
      <c r="CA57" s="158"/>
      <c r="CB57" s="158"/>
      <c r="CD57" s="241" t="s">
        <v>289</v>
      </c>
      <c r="CE57" s="169">
        <v>32.6</v>
      </c>
      <c r="CF57" s="169"/>
      <c r="CG57" s="183">
        <v>8.0000000000000002E-3</v>
      </c>
      <c r="CH57" s="178">
        <v>2.4E-2</v>
      </c>
      <c r="CI57" s="189">
        <v>3.5000000000000003E-2</v>
      </c>
      <c r="CJ57" s="180">
        <v>4.2999999999999997E-2</v>
      </c>
      <c r="CK57" s="219">
        <v>4.7E-2</v>
      </c>
      <c r="CL57" s="220">
        <v>4.8000000000000001E-2</v>
      </c>
      <c r="CM57" s="221">
        <v>4.5999999999999999E-2</v>
      </c>
      <c r="CN57" s="158"/>
      <c r="CO57" s="158"/>
      <c r="CP57" s="158"/>
      <c r="CQ57" s="158"/>
      <c r="CR57" s="158"/>
      <c r="CS57" s="158"/>
      <c r="CU57" s="241" t="s">
        <v>289</v>
      </c>
      <c r="CV57" s="169">
        <v>32.6</v>
      </c>
      <c r="CW57" s="183">
        <v>8.0000000000000002E-3</v>
      </c>
      <c r="CX57" s="178">
        <v>2.4E-2</v>
      </c>
      <c r="CY57" s="189">
        <v>3.5000000000000003E-2</v>
      </c>
      <c r="CZ57" s="180">
        <v>4.2999999999999997E-2</v>
      </c>
      <c r="DA57" s="219">
        <v>4.7E-2</v>
      </c>
      <c r="DB57" s="220">
        <v>4.8000000000000001E-2</v>
      </c>
      <c r="DC57" s="221">
        <v>4.5999999999999999E-2</v>
      </c>
      <c r="DD57" s="158"/>
      <c r="DE57" s="158"/>
      <c r="DF57" s="158"/>
      <c r="DG57" s="158"/>
      <c r="DH57" s="158"/>
      <c r="DI57" s="158"/>
    </row>
    <row r="58" spans="1:113" x14ac:dyDescent="0.2">
      <c r="A58" s="363"/>
      <c r="B58" s="241" t="s">
        <v>259</v>
      </c>
      <c r="C58" s="169">
        <v>37.9</v>
      </c>
      <c r="D58" s="176">
        <v>7.0000000000000001E-3</v>
      </c>
      <c r="E58" s="222">
        <v>2.4E-2</v>
      </c>
      <c r="F58" s="223">
        <v>3.6999999999999998E-2</v>
      </c>
      <c r="G58" s="217">
        <v>4.8000000000000001E-2</v>
      </c>
      <c r="H58" s="224">
        <v>5.3999999999999999E-2</v>
      </c>
      <c r="I58" s="225">
        <v>5.2999999999999999E-2</v>
      </c>
      <c r="J58" s="158"/>
      <c r="K58" s="158"/>
      <c r="L58" s="158"/>
      <c r="M58" s="158"/>
      <c r="N58" s="158"/>
      <c r="O58" s="158"/>
      <c r="P58" s="158"/>
      <c r="R58" s="241" t="s">
        <v>259</v>
      </c>
      <c r="S58" s="169">
        <v>37.9</v>
      </c>
      <c r="T58" s="176">
        <v>7.0000000000000001E-3</v>
      </c>
      <c r="U58" s="222">
        <v>2.4E-2</v>
      </c>
      <c r="V58" s="223">
        <v>3.6999999999999998E-2</v>
      </c>
      <c r="W58" s="217">
        <v>4.8000000000000001E-2</v>
      </c>
      <c r="X58" s="224">
        <v>5.3999999999999999E-2</v>
      </c>
      <c r="Y58" s="225">
        <v>5.2999999999999999E-2</v>
      </c>
      <c r="Z58" s="158"/>
      <c r="AA58" s="158"/>
      <c r="AB58" s="158"/>
      <c r="AC58" s="158"/>
      <c r="AD58" s="158"/>
      <c r="AE58" s="158"/>
      <c r="AF58" s="158"/>
      <c r="AH58" s="241" t="s">
        <v>259</v>
      </c>
      <c r="AI58" s="169">
        <v>37.9</v>
      </c>
      <c r="AJ58" s="176">
        <v>7.0000000000000001E-3</v>
      </c>
      <c r="AK58" s="222">
        <v>2.4E-2</v>
      </c>
      <c r="AL58" s="223">
        <v>3.6999999999999998E-2</v>
      </c>
      <c r="AM58" s="217">
        <v>4.8000000000000001E-2</v>
      </c>
      <c r="AN58" s="224">
        <v>5.3999999999999999E-2</v>
      </c>
      <c r="AO58" s="225">
        <v>5.2999999999999999E-2</v>
      </c>
      <c r="AP58" s="158"/>
      <c r="AQ58" s="158"/>
      <c r="AR58" s="158"/>
      <c r="AS58" s="158"/>
      <c r="AT58" s="158"/>
      <c r="AU58" s="158"/>
      <c r="AV58" s="158"/>
      <c r="AX58" s="241" t="s">
        <v>259</v>
      </c>
      <c r="AY58" s="169">
        <v>37.9</v>
      </c>
      <c r="AZ58" s="176">
        <v>7.0000000000000001E-3</v>
      </c>
      <c r="BA58" s="222">
        <v>2.4E-2</v>
      </c>
      <c r="BB58" s="223">
        <v>3.6999999999999998E-2</v>
      </c>
      <c r="BC58" s="217">
        <v>4.8000000000000001E-2</v>
      </c>
      <c r="BD58" s="224">
        <v>5.3999999999999999E-2</v>
      </c>
      <c r="BE58" s="225">
        <v>5.2999999999999999E-2</v>
      </c>
      <c r="BF58" s="158"/>
      <c r="BG58" s="158"/>
      <c r="BH58" s="158"/>
      <c r="BI58" s="158"/>
      <c r="BJ58" s="158"/>
      <c r="BK58" s="158"/>
      <c r="BL58" s="158"/>
      <c r="BN58" s="241" t="s">
        <v>259</v>
      </c>
      <c r="BO58" s="169">
        <v>37.9</v>
      </c>
      <c r="BP58" s="176">
        <v>7.0000000000000001E-3</v>
      </c>
      <c r="BQ58" s="222">
        <v>2.4E-2</v>
      </c>
      <c r="BR58" s="223">
        <v>3.6999999999999998E-2</v>
      </c>
      <c r="BS58" s="217">
        <v>4.8000000000000001E-2</v>
      </c>
      <c r="BT58" s="224">
        <v>5.3999999999999999E-2</v>
      </c>
      <c r="BU58" s="225">
        <v>5.2999999999999999E-2</v>
      </c>
      <c r="BV58" s="158"/>
      <c r="BW58" s="158"/>
      <c r="BX58" s="158"/>
      <c r="BY58" s="158"/>
      <c r="BZ58" s="158"/>
      <c r="CA58" s="158"/>
      <c r="CB58" s="158"/>
      <c r="CD58" s="241" t="s">
        <v>259</v>
      </c>
      <c r="CE58" s="169">
        <v>37.9</v>
      </c>
      <c r="CF58" s="169"/>
      <c r="CG58" s="176">
        <v>7.0000000000000001E-3</v>
      </c>
      <c r="CH58" s="222">
        <v>2.4E-2</v>
      </c>
      <c r="CI58" s="223">
        <v>3.6999999999999998E-2</v>
      </c>
      <c r="CJ58" s="217">
        <v>4.8000000000000001E-2</v>
      </c>
      <c r="CK58" s="224">
        <v>5.3999999999999999E-2</v>
      </c>
      <c r="CL58" s="225">
        <v>5.2999999999999999E-2</v>
      </c>
      <c r="CM58" s="158"/>
      <c r="CN58" s="158"/>
      <c r="CO58" s="158"/>
      <c r="CP58" s="158"/>
      <c r="CQ58" s="158"/>
      <c r="CR58" s="158"/>
      <c r="CS58" s="158"/>
      <c r="CU58" s="241" t="s">
        <v>259</v>
      </c>
      <c r="CV58" s="169">
        <v>37.9</v>
      </c>
      <c r="CW58" s="176">
        <v>7.0000000000000001E-3</v>
      </c>
      <c r="CX58" s="222">
        <v>2.4E-2</v>
      </c>
      <c r="CY58" s="223">
        <v>3.6999999999999998E-2</v>
      </c>
      <c r="CZ58" s="217">
        <v>4.8000000000000001E-2</v>
      </c>
      <c r="DA58" s="224">
        <v>5.3999999999999999E-2</v>
      </c>
      <c r="DB58" s="225">
        <v>5.2999999999999999E-2</v>
      </c>
      <c r="DC58" s="158"/>
      <c r="DD58" s="158"/>
      <c r="DE58" s="158"/>
      <c r="DF58" s="158"/>
      <c r="DG58" s="158"/>
      <c r="DH58" s="158"/>
      <c r="DI58" s="158"/>
    </row>
    <row r="59" spans="1:113" x14ac:dyDescent="0.2">
      <c r="A59" s="363"/>
      <c r="B59" s="241" t="s">
        <v>260</v>
      </c>
      <c r="C59" s="169">
        <v>51.8</v>
      </c>
      <c r="D59" s="164">
        <v>8.9999999999999993E-3</v>
      </c>
      <c r="E59" s="226">
        <v>2.5000000000000001E-2</v>
      </c>
      <c r="F59" s="160">
        <v>3.5999999999999997E-2</v>
      </c>
      <c r="G59" s="227">
        <v>4.7E-2</v>
      </c>
      <c r="H59" s="228">
        <v>0.05</v>
      </c>
      <c r="I59" s="158"/>
      <c r="J59" s="158"/>
      <c r="K59" s="158"/>
      <c r="L59" s="158"/>
      <c r="M59" s="158"/>
      <c r="N59" s="158"/>
      <c r="O59" s="158"/>
      <c r="P59" s="158"/>
      <c r="R59" s="241" t="s">
        <v>260</v>
      </c>
      <c r="S59" s="169">
        <v>51.8</v>
      </c>
      <c r="T59" s="164">
        <v>8.9999999999999993E-3</v>
      </c>
      <c r="U59" s="226">
        <v>2.5000000000000001E-2</v>
      </c>
      <c r="V59" s="160">
        <v>3.5999999999999997E-2</v>
      </c>
      <c r="W59" s="227">
        <v>4.7E-2</v>
      </c>
      <c r="X59" s="228">
        <v>0.05</v>
      </c>
      <c r="Y59" s="158"/>
      <c r="Z59" s="158"/>
      <c r="AA59" s="158"/>
      <c r="AB59" s="158"/>
      <c r="AC59" s="158"/>
      <c r="AD59" s="158"/>
      <c r="AE59" s="158"/>
      <c r="AF59" s="158"/>
      <c r="AH59" s="241" t="s">
        <v>260</v>
      </c>
      <c r="AI59" s="169">
        <v>51.8</v>
      </c>
      <c r="AJ59" s="164">
        <v>8.9999999999999993E-3</v>
      </c>
      <c r="AK59" s="226">
        <v>2.5000000000000001E-2</v>
      </c>
      <c r="AL59" s="160">
        <v>3.5999999999999997E-2</v>
      </c>
      <c r="AM59" s="227">
        <v>4.7E-2</v>
      </c>
      <c r="AN59" s="228">
        <v>0.05</v>
      </c>
      <c r="AO59" s="158"/>
      <c r="AP59" s="158"/>
      <c r="AQ59" s="158"/>
      <c r="AR59" s="158"/>
      <c r="AS59" s="158"/>
      <c r="AT59" s="158"/>
      <c r="AU59" s="158"/>
      <c r="AV59" s="158"/>
      <c r="AX59" s="241" t="s">
        <v>260</v>
      </c>
      <c r="AY59" s="169">
        <v>51.8</v>
      </c>
      <c r="AZ59" s="164">
        <v>8.9999999999999993E-3</v>
      </c>
      <c r="BA59" s="226">
        <v>2.5000000000000001E-2</v>
      </c>
      <c r="BB59" s="160">
        <v>3.5999999999999997E-2</v>
      </c>
      <c r="BC59" s="227">
        <v>4.7E-2</v>
      </c>
      <c r="BD59" s="228">
        <v>0.05</v>
      </c>
      <c r="BE59" s="158"/>
      <c r="BF59" s="158"/>
      <c r="BG59" s="158"/>
      <c r="BH59" s="158"/>
      <c r="BI59" s="158"/>
      <c r="BJ59" s="158"/>
      <c r="BK59" s="158"/>
      <c r="BL59" s="158"/>
      <c r="BN59" s="241" t="s">
        <v>260</v>
      </c>
      <c r="BO59" s="169">
        <v>51.8</v>
      </c>
      <c r="BP59" s="164">
        <v>8.9999999999999993E-3</v>
      </c>
      <c r="BQ59" s="226">
        <v>2.5000000000000001E-2</v>
      </c>
      <c r="BR59" s="160">
        <v>3.5999999999999997E-2</v>
      </c>
      <c r="BS59" s="227">
        <v>4.7E-2</v>
      </c>
      <c r="BT59" s="228">
        <v>0.05</v>
      </c>
      <c r="BU59" s="158"/>
      <c r="BV59" s="158"/>
      <c r="BW59" s="158"/>
      <c r="BX59" s="158"/>
      <c r="BY59" s="158"/>
      <c r="BZ59" s="158"/>
      <c r="CA59" s="158"/>
      <c r="CB59" s="158"/>
      <c r="CD59" s="241" t="s">
        <v>260</v>
      </c>
      <c r="CE59" s="169">
        <v>51.8</v>
      </c>
      <c r="CF59" s="169"/>
      <c r="CG59" s="164">
        <v>8.9999999999999993E-3</v>
      </c>
      <c r="CH59" s="226">
        <v>2.5000000000000001E-2</v>
      </c>
      <c r="CI59" s="160">
        <v>3.5999999999999997E-2</v>
      </c>
      <c r="CJ59" s="227">
        <v>4.7E-2</v>
      </c>
      <c r="CK59" s="228">
        <v>0.05</v>
      </c>
      <c r="CL59" s="158"/>
      <c r="CM59" s="158"/>
      <c r="CN59" s="158"/>
      <c r="CO59" s="158"/>
      <c r="CP59" s="158"/>
      <c r="CQ59" s="158"/>
      <c r="CR59" s="158"/>
      <c r="CS59" s="158"/>
      <c r="CU59" s="241" t="s">
        <v>260</v>
      </c>
      <c r="CV59" s="169">
        <v>51.8</v>
      </c>
      <c r="CW59" s="164">
        <v>8.9999999999999993E-3</v>
      </c>
      <c r="CX59" s="226">
        <v>2.5000000000000001E-2</v>
      </c>
      <c r="CY59" s="160">
        <v>3.5999999999999997E-2</v>
      </c>
      <c r="CZ59" s="227">
        <v>4.7E-2</v>
      </c>
      <c r="DA59" s="228">
        <v>0.05</v>
      </c>
      <c r="DB59" s="158"/>
      <c r="DC59" s="158"/>
      <c r="DD59" s="158"/>
      <c r="DE59" s="158"/>
      <c r="DF59" s="158"/>
      <c r="DG59" s="158"/>
      <c r="DH59" s="158"/>
      <c r="DI59" s="158"/>
    </row>
    <row r="60" spans="1:113" x14ac:dyDescent="0.2">
      <c r="A60" s="363"/>
      <c r="B60" s="241" t="s">
        <v>261</v>
      </c>
      <c r="C60" s="169">
        <v>51.8</v>
      </c>
      <c r="D60" s="229">
        <v>7.0000000000000001E-3</v>
      </c>
      <c r="E60" s="230">
        <v>2.4E-2</v>
      </c>
      <c r="F60" s="201">
        <v>3.7999999999999999E-2</v>
      </c>
      <c r="G60" s="231">
        <v>4.4999999999999998E-2</v>
      </c>
      <c r="H60" s="158"/>
      <c r="I60" s="158"/>
      <c r="J60" s="158"/>
      <c r="K60" s="158"/>
      <c r="L60" s="158"/>
      <c r="M60" s="158"/>
      <c r="N60" s="158"/>
      <c r="O60" s="158"/>
      <c r="P60" s="158"/>
      <c r="R60" s="241" t="s">
        <v>261</v>
      </c>
      <c r="S60" s="169">
        <v>51.8</v>
      </c>
      <c r="T60" s="229">
        <v>7.0000000000000001E-3</v>
      </c>
      <c r="U60" s="230">
        <v>2.4E-2</v>
      </c>
      <c r="V60" s="201">
        <v>3.7999999999999999E-2</v>
      </c>
      <c r="W60" s="231">
        <v>4.4999999999999998E-2</v>
      </c>
      <c r="X60" s="158"/>
      <c r="Y60" s="158"/>
      <c r="Z60" s="158"/>
      <c r="AA60" s="158"/>
      <c r="AB60" s="158"/>
      <c r="AC60" s="158"/>
      <c r="AD60" s="158"/>
      <c r="AE60" s="158"/>
      <c r="AF60" s="158"/>
      <c r="AH60" s="241" t="s">
        <v>261</v>
      </c>
      <c r="AI60" s="169">
        <v>51.8</v>
      </c>
      <c r="AJ60" s="229">
        <v>7.0000000000000001E-3</v>
      </c>
      <c r="AK60" s="230">
        <v>2.4E-2</v>
      </c>
      <c r="AL60" s="201">
        <v>3.7999999999999999E-2</v>
      </c>
      <c r="AM60" s="231">
        <v>4.4999999999999998E-2</v>
      </c>
      <c r="AN60" s="158"/>
      <c r="AO60" s="158"/>
      <c r="AP60" s="158"/>
      <c r="AQ60" s="158"/>
      <c r="AR60" s="158"/>
      <c r="AS60" s="158"/>
      <c r="AT60" s="158"/>
      <c r="AU60" s="158"/>
      <c r="AV60" s="158"/>
      <c r="AX60" s="241" t="s">
        <v>261</v>
      </c>
      <c r="AY60" s="169">
        <v>51.8</v>
      </c>
      <c r="AZ60" s="229">
        <v>7.0000000000000001E-3</v>
      </c>
      <c r="BA60" s="230">
        <v>2.4E-2</v>
      </c>
      <c r="BB60" s="201">
        <v>3.7999999999999999E-2</v>
      </c>
      <c r="BC60" s="231">
        <v>4.4999999999999998E-2</v>
      </c>
      <c r="BD60" s="158"/>
      <c r="BE60" s="158"/>
      <c r="BF60" s="158"/>
      <c r="BG60" s="158"/>
      <c r="BH60" s="158"/>
      <c r="BI60" s="158"/>
      <c r="BJ60" s="158"/>
      <c r="BK60" s="158"/>
      <c r="BL60" s="158"/>
      <c r="BN60" s="241" t="s">
        <v>261</v>
      </c>
      <c r="BO60" s="169">
        <v>51.8</v>
      </c>
      <c r="BP60" s="229">
        <v>7.0000000000000001E-3</v>
      </c>
      <c r="BQ60" s="230">
        <v>2.4E-2</v>
      </c>
      <c r="BR60" s="201">
        <v>3.7999999999999999E-2</v>
      </c>
      <c r="BS60" s="231">
        <v>4.4999999999999998E-2</v>
      </c>
      <c r="BT60" s="158"/>
      <c r="BU60" s="158"/>
      <c r="BV60" s="158"/>
      <c r="BW60" s="158"/>
      <c r="BX60" s="158"/>
      <c r="BY60" s="158"/>
      <c r="BZ60" s="158"/>
      <c r="CA60" s="158"/>
      <c r="CB60" s="158"/>
      <c r="CD60" s="241" t="s">
        <v>261</v>
      </c>
      <c r="CE60" s="169">
        <v>51.8</v>
      </c>
      <c r="CF60" s="169"/>
      <c r="CG60" s="229">
        <v>7.0000000000000001E-3</v>
      </c>
      <c r="CH60" s="230">
        <v>2.4E-2</v>
      </c>
      <c r="CI60" s="201">
        <v>3.7999999999999999E-2</v>
      </c>
      <c r="CJ60" s="231">
        <v>4.4999999999999998E-2</v>
      </c>
      <c r="CK60" s="158"/>
      <c r="CL60" s="158"/>
      <c r="CM60" s="158"/>
      <c r="CN60" s="158"/>
      <c r="CO60" s="158"/>
      <c r="CP60" s="158"/>
      <c r="CQ60" s="158"/>
      <c r="CR60" s="158"/>
      <c r="CS60" s="158"/>
      <c r="CU60" s="241" t="s">
        <v>261</v>
      </c>
      <c r="CV60" s="169">
        <v>51.8</v>
      </c>
      <c r="CW60" s="229">
        <v>7.0000000000000001E-3</v>
      </c>
      <c r="CX60" s="230">
        <v>2.4E-2</v>
      </c>
      <c r="CY60" s="201">
        <v>3.7999999999999999E-2</v>
      </c>
      <c r="CZ60" s="231">
        <v>4.4999999999999998E-2</v>
      </c>
      <c r="DA60" s="158"/>
      <c r="DB60" s="158"/>
      <c r="DC60" s="158"/>
      <c r="DD60" s="158"/>
      <c r="DE60" s="158"/>
      <c r="DF60" s="158"/>
      <c r="DG60" s="158"/>
      <c r="DH60" s="158"/>
      <c r="DI60" s="158"/>
    </row>
    <row r="61" spans="1:113" x14ac:dyDescent="0.2">
      <c r="A61" s="363"/>
      <c r="B61" s="241" t="s">
        <v>262</v>
      </c>
      <c r="C61" s="169">
        <v>51.3</v>
      </c>
      <c r="D61" s="232">
        <v>8.9999999999999993E-3</v>
      </c>
      <c r="E61" s="233">
        <v>2.5999999999999999E-2</v>
      </c>
      <c r="F61" s="234">
        <v>3.7999999999999999E-2</v>
      </c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R61" s="241" t="s">
        <v>262</v>
      </c>
      <c r="S61" s="169">
        <v>51.3</v>
      </c>
      <c r="T61" s="232">
        <v>8.9999999999999993E-3</v>
      </c>
      <c r="U61" s="233">
        <v>2.5999999999999999E-2</v>
      </c>
      <c r="V61" s="234">
        <v>3.7999999999999999E-2</v>
      </c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H61" s="241" t="s">
        <v>262</v>
      </c>
      <c r="AI61" s="169">
        <v>51.3</v>
      </c>
      <c r="AJ61" s="232">
        <v>8.9999999999999993E-3</v>
      </c>
      <c r="AK61" s="233">
        <v>2.5999999999999999E-2</v>
      </c>
      <c r="AL61" s="234">
        <v>3.7999999999999999E-2</v>
      </c>
      <c r="AM61" s="158"/>
      <c r="AN61" s="158"/>
      <c r="AO61" s="158"/>
      <c r="AP61" s="158"/>
      <c r="AQ61" s="158"/>
      <c r="AR61" s="158"/>
      <c r="AS61" s="158"/>
      <c r="AT61" s="158"/>
      <c r="AU61" s="158"/>
      <c r="AV61" s="158"/>
      <c r="AX61" s="241" t="s">
        <v>262</v>
      </c>
      <c r="AY61" s="169">
        <v>51.3</v>
      </c>
      <c r="AZ61" s="232">
        <v>8.9999999999999993E-3</v>
      </c>
      <c r="BA61" s="233">
        <v>2.5999999999999999E-2</v>
      </c>
      <c r="BB61" s="234">
        <v>3.7999999999999999E-2</v>
      </c>
      <c r="BC61" s="158"/>
      <c r="BD61" s="158"/>
      <c r="BE61" s="158"/>
      <c r="BF61" s="158"/>
      <c r="BG61" s="158"/>
      <c r="BH61" s="158"/>
      <c r="BI61" s="158"/>
      <c r="BJ61" s="158"/>
      <c r="BK61" s="158"/>
      <c r="BL61" s="158"/>
      <c r="BN61" s="241" t="s">
        <v>262</v>
      </c>
      <c r="BO61" s="169">
        <v>51.3</v>
      </c>
      <c r="BP61" s="232">
        <v>8.9999999999999993E-3</v>
      </c>
      <c r="BQ61" s="233">
        <v>2.5999999999999999E-2</v>
      </c>
      <c r="BR61" s="234">
        <v>3.7999999999999999E-2</v>
      </c>
      <c r="BS61" s="158"/>
      <c r="BT61" s="158"/>
      <c r="BU61" s="158"/>
      <c r="BV61" s="158"/>
      <c r="BW61" s="158"/>
      <c r="BX61" s="158"/>
      <c r="BY61" s="158"/>
      <c r="BZ61" s="158"/>
      <c r="CA61" s="158"/>
      <c r="CB61" s="158"/>
      <c r="CD61" s="241" t="s">
        <v>262</v>
      </c>
      <c r="CE61" s="169">
        <v>51.3</v>
      </c>
      <c r="CF61" s="169"/>
      <c r="CG61" s="232">
        <v>8.9999999999999993E-3</v>
      </c>
      <c r="CH61" s="233">
        <v>2.5999999999999999E-2</v>
      </c>
      <c r="CI61" s="234">
        <v>3.7999999999999999E-2</v>
      </c>
      <c r="CJ61" s="158"/>
      <c r="CK61" s="158"/>
      <c r="CL61" s="158"/>
      <c r="CM61" s="158"/>
      <c r="CN61" s="158"/>
      <c r="CO61" s="158"/>
      <c r="CP61" s="158"/>
      <c r="CQ61" s="158"/>
      <c r="CR61" s="158"/>
      <c r="CS61" s="158"/>
      <c r="CU61" s="241" t="s">
        <v>262</v>
      </c>
      <c r="CV61" s="169">
        <v>51.3</v>
      </c>
      <c r="CW61" s="232">
        <v>8.9999999999999993E-3</v>
      </c>
      <c r="CX61" s="233">
        <v>2.5999999999999999E-2</v>
      </c>
      <c r="CY61" s="234">
        <v>3.7999999999999999E-2</v>
      </c>
      <c r="CZ61" s="158"/>
      <c r="DA61" s="158"/>
      <c r="DB61" s="158"/>
      <c r="DC61" s="158"/>
      <c r="DD61" s="158"/>
      <c r="DE61" s="158"/>
      <c r="DF61" s="158"/>
      <c r="DG61" s="158"/>
      <c r="DH61" s="158"/>
      <c r="DI61" s="158"/>
    </row>
    <row r="62" spans="1:113" x14ac:dyDescent="0.2">
      <c r="A62" s="363"/>
      <c r="B62" s="241" t="s">
        <v>263</v>
      </c>
      <c r="C62" s="169">
        <v>57.6</v>
      </c>
      <c r="D62" s="235">
        <v>8.9999999999999993E-3</v>
      </c>
      <c r="E62" s="236">
        <v>2.5000000000000001E-2</v>
      </c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R62" s="241" t="s">
        <v>263</v>
      </c>
      <c r="S62" s="169">
        <v>57.6</v>
      </c>
      <c r="T62" s="235">
        <v>8.9999999999999993E-3</v>
      </c>
      <c r="U62" s="236">
        <v>2.5000000000000001E-2</v>
      </c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H62" s="241" t="s">
        <v>263</v>
      </c>
      <c r="AI62" s="169">
        <v>57.6</v>
      </c>
      <c r="AJ62" s="235">
        <v>8.9999999999999993E-3</v>
      </c>
      <c r="AK62" s="236">
        <v>2.5000000000000001E-2</v>
      </c>
      <c r="AL62" s="158"/>
      <c r="AM62" s="158"/>
      <c r="AN62" s="158"/>
      <c r="AO62" s="158"/>
      <c r="AP62" s="158"/>
      <c r="AQ62" s="158"/>
      <c r="AR62" s="158"/>
      <c r="AS62" s="158"/>
      <c r="AT62" s="158"/>
      <c r="AU62" s="158"/>
      <c r="AV62" s="158"/>
      <c r="AX62" s="241" t="s">
        <v>263</v>
      </c>
      <c r="AY62" s="169">
        <v>57.6</v>
      </c>
      <c r="AZ62" s="235">
        <v>8.9999999999999993E-3</v>
      </c>
      <c r="BA62" s="236">
        <v>2.5000000000000001E-2</v>
      </c>
      <c r="BB62" s="158"/>
      <c r="BC62" s="158"/>
      <c r="BD62" s="158"/>
      <c r="BE62" s="158"/>
      <c r="BF62" s="158"/>
      <c r="BG62" s="158"/>
      <c r="BH62" s="158"/>
      <c r="BI62" s="158"/>
      <c r="BJ62" s="158"/>
      <c r="BK62" s="158"/>
      <c r="BL62" s="158"/>
      <c r="BN62" s="241" t="s">
        <v>263</v>
      </c>
      <c r="BO62" s="169">
        <v>57.6</v>
      </c>
      <c r="BP62" s="235">
        <v>8.9999999999999993E-3</v>
      </c>
      <c r="BQ62" s="236">
        <v>2.5000000000000001E-2</v>
      </c>
      <c r="BR62" s="158"/>
      <c r="BS62" s="158"/>
      <c r="BT62" s="158"/>
      <c r="BU62" s="158"/>
      <c r="BV62" s="158"/>
      <c r="BW62" s="158"/>
      <c r="BX62" s="158"/>
      <c r="BY62" s="158"/>
      <c r="BZ62" s="158"/>
      <c r="CA62" s="158"/>
      <c r="CB62" s="158"/>
      <c r="CD62" s="241" t="s">
        <v>263</v>
      </c>
      <c r="CE62" s="169">
        <v>57.6</v>
      </c>
      <c r="CF62" s="169"/>
      <c r="CG62" s="235">
        <v>8.9999999999999993E-3</v>
      </c>
      <c r="CH62" s="236">
        <v>2.5000000000000001E-2</v>
      </c>
      <c r="CI62" s="158"/>
      <c r="CJ62" s="158"/>
      <c r="CK62" s="158"/>
      <c r="CL62" s="158"/>
      <c r="CM62" s="158"/>
      <c r="CN62" s="158"/>
      <c r="CO62" s="158"/>
      <c r="CP62" s="158"/>
      <c r="CQ62" s="158"/>
      <c r="CR62" s="158"/>
      <c r="CS62" s="158"/>
      <c r="CU62" s="241" t="s">
        <v>263</v>
      </c>
      <c r="CV62" s="169">
        <v>57.6</v>
      </c>
      <c r="CW62" s="235">
        <v>8.9999999999999993E-3</v>
      </c>
      <c r="CX62" s="236">
        <v>2.5000000000000001E-2</v>
      </c>
      <c r="CY62" s="158"/>
      <c r="CZ62" s="158"/>
      <c r="DA62" s="158"/>
      <c r="DB62" s="158"/>
      <c r="DC62" s="158"/>
      <c r="DD62" s="158"/>
      <c r="DE62" s="158"/>
      <c r="DF62" s="158"/>
      <c r="DG62" s="158"/>
      <c r="DH62" s="158"/>
      <c r="DI62" s="158"/>
    </row>
    <row r="63" spans="1:113" ht="16" thickBot="1" x14ac:dyDescent="0.25">
      <c r="A63" s="364"/>
      <c r="B63" s="242" t="s">
        <v>271</v>
      </c>
      <c r="C63" s="237">
        <v>53.5</v>
      </c>
      <c r="D63" s="238">
        <v>7.0000000000000001E-3</v>
      </c>
      <c r="E63" s="239"/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R63" s="242" t="s">
        <v>271</v>
      </c>
      <c r="S63" s="237">
        <v>53.5</v>
      </c>
      <c r="T63" s="238">
        <v>7.0000000000000001E-3</v>
      </c>
      <c r="U63" s="239"/>
      <c r="V63" s="239"/>
      <c r="W63" s="239"/>
      <c r="X63" s="239"/>
      <c r="Y63" s="239"/>
      <c r="Z63" s="239"/>
      <c r="AA63" s="239"/>
      <c r="AB63" s="239"/>
      <c r="AC63" s="239"/>
      <c r="AD63" s="239"/>
      <c r="AE63" s="239"/>
      <c r="AF63" s="239"/>
      <c r="AH63" s="242" t="s">
        <v>271</v>
      </c>
      <c r="AI63" s="237">
        <v>53.5</v>
      </c>
      <c r="AJ63" s="238">
        <v>7.0000000000000001E-3</v>
      </c>
      <c r="AK63" s="239"/>
      <c r="AL63" s="239"/>
      <c r="AM63" s="239"/>
      <c r="AN63" s="239"/>
      <c r="AO63" s="239"/>
      <c r="AP63" s="239"/>
      <c r="AQ63" s="239"/>
      <c r="AR63" s="239"/>
      <c r="AS63" s="239"/>
      <c r="AT63" s="239"/>
      <c r="AU63" s="239"/>
      <c r="AV63" s="239"/>
      <c r="AX63" s="242" t="s">
        <v>271</v>
      </c>
      <c r="AY63" s="237">
        <v>53.5</v>
      </c>
      <c r="AZ63" s="238">
        <v>7.0000000000000001E-3</v>
      </c>
      <c r="BA63" s="239"/>
      <c r="BB63" s="239"/>
      <c r="BC63" s="239"/>
      <c r="BD63" s="239"/>
      <c r="BE63" s="239"/>
      <c r="BF63" s="239"/>
      <c r="BG63" s="239"/>
      <c r="BH63" s="239"/>
      <c r="BI63" s="239"/>
      <c r="BJ63" s="239"/>
      <c r="BK63" s="239"/>
      <c r="BL63" s="239"/>
      <c r="BN63" s="242" t="s">
        <v>271</v>
      </c>
      <c r="BO63" s="237">
        <v>53.5</v>
      </c>
      <c r="BP63" s="238">
        <v>7.0000000000000001E-3</v>
      </c>
      <c r="BQ63" s="239"/>
      <c r="BR63" s="239"/>
      <c r="BS63" s="239"/>
      <c r="BT63" s="239"/>
      <c r="BU63" s="239"/>
      <c r="BV63" s="239"/>
      <c r="BW63" s="239"/>
      <c r="BX63" s="239"/>
      <c r="BY63" s="239"/>
      <c r="BZ63" s="239"/>
      <c r="CA63" s="239"/>
      <c r="CB63" s="239"/>
      <c r="CD63" s="242" t="s">
        <v>271</v>
      </c>
      <c r="CE63" s="237">
        <v>53.5</v>
      </c>
      <c r="CF63" s="237"/>
      <c r="CG63" s="238">
        <v>7.0000000000000001E-3</v>
      </c>
      <c r="CH63" s="239"/>
      <c r="CI63" s="239"/>
      <c r="CJ63" s="239"/>
      <c r="CK63" s="239"/>
      <c r="CL63" s="239"/>
      <c r="CM63" s="239"/>
      <c r="CN63" s="239"/>
      <c r="CO63" s="239"/>
      <c r="CP63" s="239"/>
      <c r="CQ63" s="239"/>
      <c r="CR63" s="239"/>
      <c r="CS63" s="239"/>
      <c r="CU63" s="242" t="s">
        <v>271</v>
      </c>
      <c r="CV63" s="237">
        <v>53.5</v>
      </c>
      <c r="CW63" s="238">
        <v>7.0000000000000001E-3</v>
      </c>
      <c r="CX63" s="239"/>
      <c r="CY63" s="239"/>
      <c r="CZ63" s="239"/>
      <c r="DA63" s="239"/>
      <c r="DB63" s="239"/>
      <c r="DC63" s="239"/>
      <c r="DD63" s="239"/>
      <c r="DE63" s="239"/>
      <c r="DF63" s="239"/>
      <c r="DG63" s="239"/>
      <c r="DH63" s="239"/>
      <c r="DI63" s="239"/>
    </row>
    <row r="64" spans="1:113" ht="16" thickBot="1" x14ac:dyDescent="0.25"/>
    <row r="65" spans="1:113" x14ac:dyDescent="0.2">
      <c r="A65" s="362" t="s">
        <v>79</v>
      </c>
      <c r="B65" s="361" t="s">
        <v>274</v>
      </c>
      <c r="C65" s="361"/>
      <c r="D65" s="361"/>
      <c r="E65" s="361"/>
      <c r="F65" s="361"/>
      <c r="G65" s="361"/>
      <c r="H65" s="361"/>
      <c r="I65" s="361"/>
      <c r="J65" s="361"/>
      <c r="K65" s="361"/>
      <c r="L65" s="361"/>
      <c r="M65" s="361"/>
      <c r="N65" s="361"/>
      <c r="O65" s="361"/>
      <c r="P65" s="361"/>
      <c r="R65" s="361" t="s">
        <v>275</v>
      </c>
      <c r="S65" s="361"/>
      <c r="T65" s="361"/>
      <c r="U65" s="361"/>
      <c r="V65" s="361"/>
      <c r="W65" s="361"/>
      <c r="X65" s="361"/>
      <c r="Y65" s="361"/>
      <c r="Z65" s="361"/>
      <c r="AA65" s="361"/>
      <c r="AB65" s="361"/>
      <c r="AC65" s="361"/>
      <c r="AD65" s="361"/>
      <c r="AE65" s="361"/>
      <c r="AF65" s="361"/>
      <c r="AH65" s="361" t="s">
        <v>276</v>
      </c>
      <c r="AI65" s="361"/>
      <c r="AJ65" s="361"/>
      <c r="AK65" s="361"/>
      <c r="AL65" s="361"/>
      <c r="AM65" s="361"/>
      <c r="AN65" s="361"/>
      <c r="AO65" s="361"/>
      <c r="AP65" s="361"/>
      <c r="AQ65" s="361"/>
      <c r="AR65" s="361"/>
      <c r="AS65" s="361"/>
      <c r="AT65" s="361"/>
      <c r="AU65" s="361"/>
      <c r="AV65" s="361"/>
      <c r="AX65" s="361" t="s">
        <v>277</v>
      </c>
      <c r="AY65" s="361"/>
      <c r="AZ65" s="361"/>
      <c r="BA65" s="361"/>
      <c r="BB65" s="361"/>
      <c r="BC65" s="361"/>
      <c r="BD65" s="361"/>
      <c r="BE65" s="361"/>
      <c r="BF65" s="361"/>
      <c r="BG65" s="361"/>
      <c r="BH65" s="361"/>
      <c r="BI65" s="361"/>
      <c r="BJ65" s="361"/>
      <c r="BK65" s="361"/>
      <c r="BL65" s="361"/>
      <c r="BN65" s="361" t="s">
        <v>278</v>
      </c>
      <c r="BO65" s="361"/>
      <c r="BP65" s="361"/>
      <c r="BQ65" s="361"/>
      <c r="BR65" s="361"/>
      <c r="BS65" s="361"/>
      <c r="BT65" s="361"/>
      <c r="BU65" s="361"/>
      <c r="BV65" s="361"/>
      <c r="BW65" s="361"/>
      <c r="BX65" s="361"/>
      <c r="BY65" s="361"/>
      <c r="BZ65" s="361"/>
      <c r="CA65" s="361"/>
      <c r="CB65" s="361"/>
      <c r="CD65" s="361" t="s">
        <v>279</v>
      </c>
      <c r="CE65" s="361"/>
      <c r="CF65" s="361"/>
      <c r="CG65" s="361"/>
      <c r="CH65" s="361"/>
      <c r="CI65" s="361"/>
      <c r="CJ65" s="361"/>
      <c r="CK65" s="361"/>
      <c r="CL65" s="361"/>
      <c r="CM65" s="361"/>
      <c r="CN65" s="361"/>
      <c r="CO65" s="361"/>
      <c r="CP65" s="361"/>
      <c r="CQ65" s="361"/>
      <c r="CR65" s="361"/>
      <c r="CS65" s="361"/>
      <c r="CU65" s="361" t="s">
        <v>280</v>
      </c>
      <c r="CV65" s="361"/>
      <c r="CW65" s="361"/>
      <c r="CX65" s="361"/>
      <c r="CY65" s="361"/>
      <c r="CZ65" s="361"/>
      <c r="DA65" s="361"/>
      <c r="DB65" s="361"/>
      <c r="DC65" s="361"/>
      <c r="DD65" s="361"/>
      <c r="DE65" s="361"/>
      <c r="DF65" s="361"/>
      <c r="DG65" s="361"/>
      <c r="DH65" s="361"/>
      <c r="DI65" s="361"/>
    </row>
    <row r="66" spans="1:113" x14ac:dyDescent="0.2">
      <c r="A66" s="363"/>
      <c r="B66" s="240" t="s">
        <v>126</v>
      </c>
      <c r="C66" s="157" t="s">
        <v>281</v>
      </c>
      <c r="D66" s="157">
        <v>1</v>
      </c>
      <c r="E66" s="157">
        <v>2</v>
      </c>
      <c r="F66" s="157">
        <v>3</v>
      </c>
      <c r="G66" s="157">
        <v>4</v>
      </c>
      <c r="H66" s="157">
        <v>5</v>
      </c>
      <c r="I66" s="157">
        <v>6</v>
      </c>
      <c r="J66" s="157">
        <v>7</v>
      </c>
      <c r="K66" s="157">
        <v>8</v>
      </c>
      <c r="L66" s="157">
        <v>9</v>
      </c>
      <c r="M66" s="157">
        <v>10</v>
      </c>
      <c r="N66" s="157">
        <v>11</v>
      </c>
      <c r="O66" s="157">
        <v>12</v>
      </c>
      <c r="P66" s="157">
        <v>13</v>
      </c>
      <c r="R66" s="240" t="s">
        <v>126</v>
      </c>
      <c r="S66" s="157" t="s">
        <v>281</v>
      </c>
      <c r="T66" s="157">
        <v>2</v>
      </c>
      <c r="U66" s="157">
        <v>3</v>
      </c>
      <c r="V66" s="157">
        <v>4</v>
      </c>
      <c r="W66" s="157">
        <v>5</v>
      </c>
      <c r="X66" s="157">
        <v>6</v>
      </c>
      <c r="Y66" s="157">
        <v>7</v>
      </c>
      <c r="Z66" s="157">
        <v>8</v>
      </c>
      <c r="AA66" s="157">
        <v>9</v>
      </c>
      <c r="AB66" s="157">
        <v>10</v>
      </c>
      <c r="AC66" s="157">
        <v>11</v>
      </c>
      <c r="AD66" s="157">
        <v>12</v>
      </c>
      <c r="AE66" s="157">
        <v>13</v>
      </c>
      <c r="AF66" s="157">
        <v>14</v>
      </c>
      <c r="AH66" s="240" t="s">
        <v>126</v>
      </c>
      <c r="AI66" s="157" t="s">
        <v>281</v>
      </c>
      <c r="AJ66" s="157">
        <v>3</v>
      </c>
      <c r="AK66" s="157">
        <v>4</v>
      </c>
      <c r="AL66" s="157">
        <v>5</v>
      </c>
      <c r="AM66" s="157">
        <v>6</v>
      </c>
      <c r="AN66" s="157">
        <v>7</v>
      </c>
      <c r="AO66" s="157">
        <v>8</v>
      </c>
      <c r="AP66" s="157">
        <v>9</v>
      </c>
      <c r="AQ66" s="157">
        <v>10</v>
      </c>
      <c r="AR66" s="157">
        <v>11</v>
      </c>
      <c r="AS66" s="157">
        <v>12</v>
      </c>
      <c r="AT66" s="157">
        <v>13</v>
      </c>
      <c r="AU66" s="157">
        <v>14</v>
      </c>
      <c r="AV66" s="157">
        <v>15</v>
      </c>
      <c r="AX66" s="240" t="s">
        <v>126</v>
      </c>
      <c r="AY66" s="157" t="s">
        <v>281</v>
      </c>
      <c r="AZ66" s="157">
        <v>4</v>
      </c>
      <c r="BA66" s="157">
        <v>5</v>
      </c>
      <c r="BB66" s="157">
        <v>6</v>
      </c>
      <c r="BC66" s="157">
        <v>7</v>
      </c>
      <c r="BD66" s="157">
        <v>8</v>
      </c>
      <c r="BE66" s="157">
        <v>9</v>
      </c>
      <c r="BF66" s="157">
        <v>10</v>
      </c>
      <c r="BG66" s="157">
        <v>11</v>
      </c>
      <c r="BH66" s="157">
        <v>12</v>
      </c>
      <c r="BI66" s="157">
        <v>13</v>
      </c>
      <c r="BJ66" s="157">
        <v>14</v>
      </c>
      <c r="BK66" s="157">
        <v>15</v>
      </c>
      <c r="BL66" s="157">
        <v>16</v>
      </c>
      <c r="BN66" s="240" t="s">
        <v>126</v>
      </c>
      <c r="BO66" s="157" t="s">
        <v>281</v>
      </c>
      <c r="BP66" s="157">
        <v>4</v>
      </c>
      <c r="BQ66" s="157">
        <v>5</v>
      </c>
      <c r="BR66" s="157">
        <v>6</v>
      </c>
      <c r="BS66" s="157">
        <v>7</v>
      </c>
      <c r="BT66" s="157">
        <v>8</v>
      </c>
      <c r="BU66" s="157">
        <v>9</v>
      </c>
      <c r="BV66" s="157">
        <v>10</v>
      </c>
      <c r="BW66" s="157">
        <v>11</v>
      </c>
      <c r="BX66" s="157">
        <v>12</v>
      </c>
      <c r="BY66" s="157">
        <v>13</v>
      </c>
      <c r="BZ66" s="157">
        <v>14</v>
      </c>
      <c r="CA66" s="157">
        <v>15</v>
      </c>
      <c r="CB66" s="157">
        <v>16</v>
      </c>
      <c r="CD66" s="240" t="s">
        <v>126</v>
      </c>
      <c r="CE66" s="157" t="s">
        <v>281</v>
      </c>
      <c r="CF66" s="157" t="s">
        <v>282</v>
      </c>
      <c r="CG66" s="157">
        <v>1</v>
      </c>
      <c r="CH66" s="157">
        <v>2</v>
      </c>
      <c r="CI66" s="157">
        <v>3</v>
      </c>
      <c r="CJ66" s="157">
        <v>4</v>
      </c>
      <c r="CK66" s="157">
        <v>5</v>
      </c>
      <c r="CL66" s="157">
        <v>6</v>
      </c>
      <c r="CM66" s="157">
        <v>7</v>
      </c>
      <c r="CN66" s="157">
        <v>8</v>
      </c>
      <c r="CO66" s="157">
        <v>9</v>
      </c>
      <c r="CP66" s="157">
        <v>10</v>
      </c>
      <c r="CQ66" s="157">
        <v>11</v>
      </c>
      <c r="CR66" s="157">
        <v>12</v>
      </c>
      <c r="CS66" s="157">
        <v>13</v>
      </c>
      <c r="CU66" s="240" t="s">
        <v>126</v>
      </c>
      <c r="CV66" s="157" t="s">
        <v>281</v>
      </c>
      <c r="CW66" s="157">
        <v>1</v>
      </c>
      <c r="CX66" s="157">
        <v>2</v>
      </c>
      <c r="CY66" s="157">
        <v>3</v>
      </c>
      <c r="CZ66" s="157">
        <v>4</v>
      </c>
      <c r="DA66" s="157">
        <v>5</v>
      </c>
      <c r="DB66" s="157">
        <v>6</v>
      </c>
      <c r="DC66" s="157">
        <v>7</v>
      </c>
      <c r="DD66" s="157">
        <v>8</v>
      </c>
      <c r="DE66" s="157">
        <v>9</v>
      </c>
      <c r="DF66" s="157">
        <v>10</v>
      </c>
      <c r="DG66" s="157">
        <v>11</v>
      </c>
      <c r="DH66" s="157">
        <v>12</v>
      </c>
      <c r="DI66" s="157">
        <v>13</v>
      </c>
    </row>
    <row r="67" spans="1:113" x14ac:dyDescent="0.2">
      <c r="A67" s="363"/>
      <c r="B67" s="241" t="s">
        <v>283</v>
      </c>
      <c r="C67" s="158">
        <v>22.2</v>
      </c>
      <c r="D67" s="187">
        <v>7.0000000000000001E-3</v>
      </c>
      <c r="E67" s="168">
        <v>1.7999999999999999E-2</v>
      </c>
      <c r="F67" s="191">
        <v>2.5999999999999999E-2</v>
      </c>
      <c r="G67" s="192">
        <v>3.4000000000000002E-2</v>
      </c>
      <c r="H67" s="185">
        <v>3.7999999999999999E-2</v>
      </c>
      <c r="I67" s="184">
        <v>3.9E-2</v>
      </c>
      <c r="J67" s="193">
        <v>3.5999999999999997E-2</v>
      </c>
      <c r="K67" s="167">
        <v>3.3000000000000002E-2</v>
      </c>
      <c r="L67" s="194">
        <v>3.2000000000000001E-2</v>
      </c>
      <c r="M67" s="195">
        <v>3.1E-2</v>
      </c>
      <c r="N67" s="162">
        <v>0.03</v>
      </c>
      <c r="O67" s="175">
        <v>0.03</v>
      </c>
      <c r="P67" s="196">
        <v>2.9000000000000001E-2</v>
      </c>
      <c r="R67" s="241" t="s">
        <v>283</v>
      </c>
      <c r="S67" s="158">
        <v>22.2</v>
      </c>
      <c r="T67" s="187">
        <v>7.0000000000000001E-3</v>
      </c>
      <c r="U67" s="168">
        <v>1.7999999999999999E-2</v>
      </c>
      <c r="V67" s="191">
        <v>2.5999999999999999E-2</v>
      </c>
      <c r="W67" s="192">
        <v>3.4000000000000002E-2</v>
      </c>
      <c r="X67" s="185">
        <v>3.7999999999999999E-2</v>
      </c>
      <c r="Y67" s="184">
        <v>3.9E-2</v>
      </c>
      <c r="Z67" s="193">
        <v>3.5999999999999997E-2</v>
      </c>
      <c r="AA67" s="167">
        <v>3.3000000000000002E-2</v>
      </c>
      <c r="AB67" s="194">
        <v>3.2000000000000001E-2</v>
      </c>
      <c r="AC67" s="195">
        <v>3.1E-2</v>
      </c>
      <c r="AD67" s="162">
        <v>0.03</v>
      </c>
      <c r="AE67" s="175">
        <v>0.03</v>
      </c>
      <c r="AF67" s="196">
        <v>2.9000000000000001E-2</v>
      </c>
      <c r="AH67" s="241" t="s">
        <v>283</v>
      </c>
      <c r="AI67" s="158">
        <v>22.2</v>
      </c>
      <c r="AJ67" s="187">
        <v>7.0000000000000001E-3</v>
      </c>
      <c r="AK67" s="168">
        <v>1.7999999999999999E-2</v>
      </c>
      <c r="AL67" s="191">
        <v>2.5999999999999999E-2</v>
      </c>
      <c r="AM67" s="192">
        <v>3.4000000000000002E-2</v>
      </c>
      <c r="AN67" s="185">
        <v>3.7999999999999999E-2</v>
      </c>
      <c r="AO67" s="184">
        <v>3.9E-2</v>
      </c>
      <c r="AP67" s="193">
        <v>3.5999999999999997E-2</v>
      </c>
      <c r="AQ67" s="167">
        <v>3.3000000000000002E-2</v>
      </c>
      <c r="AR67" s="194">
        <v>3.2000000000000001E-2</v>
      </c>
      <c r="AS67" s="195">
        <v>3.1E-2</v>
      </c>
      <c r="AT67" s="162">
        <v>0.03</v>
      </c>
      <c r="AU67" s="175">
        <v>0.03</v>
      </c>
      <c r="AV67" s="196">
        <v>2.9000000000000001E-2</v>
      </c>
      <c r="AX67" s="241" t="s">
        <v>283</v>
      </c>
      <c r="AY67" s="158">
        <v>22.2</v>
      </c>
      <c r="AZ67" s="187">
        <v>7.0000000000000001E-3</v>
      </c>
      <c r="BA67" s="168">
        <v>1.7999999999999999E-2</v>
      </c>
      <c r="BB67" s="191">
        <v>2.5999999999999999E-2</v>
      </c>
      <c r="BC67" s="192">
        <v>3.4000000000000002E-2</v>
      </c>
      <c r="BD67" s="185">
        <v>3.7999999999999999E-2</v>
      </c>
      <c r="BE67" s="184">
        <v>3.9E-2</v>
      </c>
      <c r="BF67" s="193">
        <v>3.5999999999999997E-2</v>
      </c>
      <c r="BG67" s="167">
        <v>3.3000000000000002E-2</v>
      </c>
      <c r="BH67" s="194">
        <v>3.2000000000000001E-2</v>
      </c>
      <c r="BI67" s="195">
        <v>3.1E-2</v>
      </c>
      <c r="BJ67" s="162">
        <v>0.03</v>
      </c>
      <c r="BK67" s="175">
        <v>0.03</v>
      </c>
      <c r="BL67" s="196">
        <v>2.9000000000000001E-2</v>
      </c>
      <c r="BN67" s="241" t="s">
        <v>283</v>
      </c>
      <c r="BO67" s="158">
        <v>22.2</v>
      </c>
      <c r="BP67" s="187">
        <v>7.0000000000000001E-3</v>
      </c>
      <c r="BQ67" s="168">
        <v>1.7999999999999999E-2</v>
      </c>
      <c r="BR67" s="191">
        <v>2.5999999999999999E-2</v>
      </c>
      <c r="BS67" s="192">
        <v>3.4000000000000002E-2</v>
      </c>
      <c r="BT67" s="185">
        <v>3.7999999999999999E-2</v>
      </c>
      <c r="BU67" s="184">
        <v>3.9E-2</v>
      </c>
      <c r="BV67" s="193">
        <v>3.5999999999999997E-2</v>
      </c>
      <c r="BW67" s="167">
        <v>3.3000000000000002E-2</v>
      </c>
      <c r="BX67" s="194">
        <v>3.2000000000000001E-2</v>
      </c>
      <c r="BY67" s="195">
        <v>3.1E-2</v>
      </c>
      <c r="BZ67" s="162">
        <v>0.03</v>
      </c>
      <c r="CA67" s="175">
        <v>0.03</v>
      </c>
      <c r="CB67" s="196">
        <v>2.9000000000000001E-2</v>
      </c>
      <c r="CD67" s="241" t="s">
        <v>283</v>
      </c>
      <c r="CE67" s="158">
        <v>22.2</v>
      </c>
      <c r="CF67" s="158"/>
      <c r="CG67" s="187">
        <v>7.0000000000000001E-3</v>
      </c>
      <c r="CH67" s="168">
        <v>1.7999999999999999E-2</v>
      </c>
      <c r="CI67" s="191">
        <v>2.5999999999999999E-2</v>
      </c>
      <c r="CJ67" s="192">
        <v>3.4000000000000002E-2</v>
      </c>
      <c r="CK67" s="185">
        <v>3.7999999999999999E-2</v>
      </c>
      <c r="CL67" s="184">
        <v>3.9E-2</v>
      </c>
      <c r="CM67" s="193">
        <v>3.5999999999999997E-2</v>
      </c>
      <c r="CN67" s="167">
        <v>3.3000000000000002E-2</v>
      </c>
      <c r="CO67" s="194">
        <v>3.2000000000000001E-2</v>
      </c>
      <c r="CP67" s="195">
        <v>3.1E-2</v>
      </c>
      <c r="CQ67" s="162">
        <v>0.03</v>
      </c>
      <c r="CR67" s="175">
        <v>0.03</v>
      </c>
      <c r="CS67" s="196">
        <v>2.9000000000000001E-2</v>
      </c>
      <c r="CU67" s="241" t="s">
        <v>283</v>
      </c>
      <c r="CV67" s="158">
        <v>22.2</v>
      </c>
      <c r="CW67" s="187">
        <v>7.0000000000000001E-3</v>
      </c>
      <c r="CX67" s="168">
        <v>1.7999999999999999E-2</v>
      </c>
      <c r="CY67" s="191">
        <v>2.5999999999999999E-2</v>
      </c>
      <c r="CZ67" s="192">
        <v>3.4000000000000002E-2</v>
      </c>
      <c r="DA67" s="185">
        <v>3.7999999999999999E-2</v>
      </c>
      <c r="DB67" s="184">
        <v>3.9E-2</v>
      </c>
      <c r="DC67" s="193">
        <v>3.5999999999999997E-2</v>
      </c>
      <c r="DD67" s="167">
        <v>3.3000000000000002E-2</v>
      </c>
      <c r="DE67" s="194">
        <v>3.2000000000000001E-2</v>
      </c>
      <c r="DF67" s="195">
        <v>3.1E-2</v>
      </c>
      <c r="DG67" s="162">
        <v>0.03</v>
      </c>
      <c r="DH67" s="175">
        <v>0.03</v>
      </c>
      <c r="DI67" s="196">
        <v>2.9000000000000001E-2</v>
      </c>
    </row>
    <row r="68" spans="1:113" x14ac:dyDescent="0.2">
      <c r="A68" s="363"/>
      <c r="B68" s="241" t="s">
        <v>284</v>
      </c>
      <c r="C68" s="158">
        <v>21.8</v>
      </c>
      <c r="D68" s="197">
        <v>6.0000000000000001E-3</v>
      </c>
      <c r="E68" s="198">
        <v>0.02</v>
      </c>
      <c r="F68" s="199">
        <v>2.9000000000000001E-2</v>
      </c>
      <c r="G68" s="200">
        <v>3.4000000000000002E-2</v>
      </c>
      <c r="H68" s="201">
        <v>3.7999999999999999E-2</v>
      </c>
      <c r="I68" s="202">
        <v>3.7999999999999999E-2</v>
      </c>
      <c r="J68" s="166">
        <v>3.5000000000000003E-2</v>
      </c>
      <c r="K68" s="186">
        <v>3.3000000000000002E-2</v>
      </c>
      <c r="L68" s="159">
        <v>3.1E-2</v>
      </c>
      <c r="M68" s="203">
        <v>3.1E-2</v>
      </c>
      <c r="N68" s="204">
        <v>0.03</v>
      </c>
      <c r="O68" s="205">
        <v>2.9000000000000001E-2</v>
      </c>
      <c r="P68" s="158"/>
      <c r="R68" s="241" t="s">
        <v>284</v>
      </c>
      <c r="S68" s="158">
        <v>21.8</v>
      </c>
      <c r="T68" s="197">
        <v>6.0000000000000001E-3</v>
      </c>
      <c r="U68" s="198">
        <v>0.02</v>
      </c>
      <c r="V68" s="199">
        <v>2.9000000000000001E-2</v>
      </c>
      <c r="W68" s="200">
        <v>3.4000000000000002E-2</v>
      </c>
      <c r="X68" s="201">
        <v>3.7999999999999999E-2</v>
      </c>
      <c r="Y68" s="202">
        <v>3.7999999999999999E-2</v>
      </c>
      <c r="Z68" s="166">
        <v>3.5000000000000003E-2</v>
      </c>
      <c r="AA68" s="186">
        <v>3.3000000000000002E-2</v>
      </c>
      <c r="AB68" s="159">
        <v>3.1E-2</v>
      </c>
      <c r="AC68" s="203">
        <v>3.1E-2</v>
      </c>
      <c r="AD68" s="204">
        <v>0.03</v>
      </c>
      <c r="AE68" s="205">
        <v>2.9000000000000001E-2</v>
      </c>
      <c r="AF68" s="158"/>
      <c r="AH68" s="241" t="s">
        <v>284</v>
      </c>
      <c r="AI68" s="158">
        <v>21.8</v>
      </c>
      <c r="AJ68" s="197">
        <v>6.0000000000000001E-3</v>
      </c>
      <c r="AK68" s="198">
        <v>0.02</v>
      </c>
      <c r="AL68" s="199">
        <v>2.9000000000000001E-2</v>
      </c>
      <c r="AM68" s="200">
        <v>3.4000000000000002E-2</v>
      </c>
      <c r="AN68" s="201">
        <v>3.7999999999999999E-2</v>
      </c>
      <c r="AO68" s="202">
        <v>3.7999999999999999E-2</v>
      </c>
      <c r="AP68" s="166">
        <v>3.5000000000000003E-2</v>
      </c>
      <c r="AQ68" s="186">
        <v>3.3000000000000002E-2</v>
      </c>
      <c r="AR68" s="159">
        <v>3.1E-2</v>
      </c>
      <c r="AS68" s="203">
        <v>3.1E-2</v>
      </c>
      <c r="AT68" s="204">
        <v>0.03</v>
      </c>
      <c r="AU68" s="205">
        <v>2.9000000000000001E-2</v>
      </c>
      <c r="AV68" s="158"/>
      <c r="AX68" s="241" t="s">
        <v>284</v>
      </c>
      <c r="AY68" s="158">
        <v>21.8</v>
      </c>
      <c r="AZ68" s="197">
        <v>6.0000000000000001E-3</v>
      </c>
      <c r="BA68" s="198">
        <v>0.02</v>
      </c>
      <c r="BB68" s="199">
        <v>2.9000000000000001E-2</v>
      </c>
      <c r="BC68" s="200">
        <v>3.4000000000000002E-2</v>
      </c>
      <c r="BD68" s="201">
        <v>3.7999999999999999E-2</v>
      </c>
      <c r="BE68" s="202">
        <v>3.7999999999999999E-2</v>
      </c>
      <c r="BF68" s="166">
        <v>3.5000000000000003E-2</v>
      </c>
      <c r="BG68" s="186">
        <v>3.3000000000000002E-2</v>
      </c>
      <c r="BH68" s="159">
        <v>3.1E-2</v>
      </c>
      <c r="BI68" s="203">
        <v>3.1E-2</v>
      </c>
      <c r="BJ68" s="204">
        <v>0.03</v>
      </c>
      <c r="BK68" s="205">
        <v>2.9000000000000001E-2</v>
      </c>
      <c r="BL68" s="158"/>
      <c r="BN68" s="241" t="s">
        <v>284</v>
      </c>
      <c r="BO68" s="158">
        <v>21.8</v>
      </c>
      <c r="BP68" s="197">
        <v>6.0000000000000001E-3</v>
      </c>
      <c r="BQ68" s="198">
        <v>0.02</v>
      </c>
      <c r="BR68" s="199">
        <v>2.9000000000000001E-2</v>
      </c>
      <c r="BS68" s="200">
        <v>3.4000000000000002E-2</v>
      </c>
      <c r="BT68" s="201">
        <v>3.7999999999999999E-2</v>
      </c>
      <c r="BU68" s="202">
        <v>3.7999999999999999E-2</v>
      </c>
      <c r="BV68" s="166">
        <v>3.5000000000000003E-2</v>
      </c>
      <c r="BW68" s="186">
        <v>3.3000000000000002E-2</v>
      </c>
      <c r="BX68" s="159">
        <v>3.1E-2</v>
      </c>
      <c r="BY68" s="203">
        <v>3.1E-2</v>
      </c>
      <c r="BZ68" s="204">
        <v>0.03</v>
      </c>
      <c r="CA68" s="205">
        <v>2.9000000000000001E-2</v>
      </c>
      <c r="CB68" s="158"/>
      <c r="CD68" s="241" t="s">
        <v>284</v>
      </c>
      <c r="CE68" s="158">
        <v>21.8</v>
      </c>
      <c r="CF68" s="158"/>
      <c r="CG68" s="197">
        <v>6.0000000000000001E-3</v>
      </c>
      <c r="CH68" s="198">
        <v>0.02</v>
      </c>
      <c r="CI68" s="199">
        <v>2.9000000000000001E-2</v>
      </c>
      <c r="CJ68" s="200">
        <v>3.4000000000000002E-2</v>
      </c>
      <c r="CK68" s="201">
        <v>3.7999999999999999E-2</v>
      </c>
      <c r="CL68" s="202">
        <v>3.7999999999999999E-2</v>
      </c>
      <c r="CM68" s="166">
        <v>3.5000000000000003E-2</v>
      </c>
      <c r="CN68" s="186">
        <v>3.3000000000000002E-2</v>
      </c>
      <c r="CO68" s="159">
        <v>3.1E-2</v>
      </c>
      <c r="CP68" s="203">
        <v>3.1E-2</v>
      </c>
      <c r="CQ68" s="204">
        <v>0.03</v>
      </c>
      <c r="CR68" s="205">
        <v>2.9000000000000001E-2</v>
      </c>
      <c r="CS68" s="158"/>
      <c r="CU68" s="241" t="s">
        <v>284</v>
      </c>
      <c r="CV68" s="158">
        <v>21.8</v>
      </c>
      <c r="CW68" s="197">
        <v>6.0000000000000001E-3</v>
      </c>
      <c r="CX68" s="198">
        <v>0.02</v>
      </c>
      <c r="CY68" s="199">
        <v>2.9000000000000001E-2</v>
      </c>
      <c r="CZ68" s="200">
        <v>3.4000000000000002E-2</v>
      </c>
      <c r="DA68" s="201">
        <v>3.7999999999999999E-2</v>
      </c>
      <c r="DB68" s="202">
        <v>3.7999999999999999E-2</v>
      </c>
      <c r="DC68" s="166">
        <v>3.5000000000000003E-2</v>
      </c>
      <c r="DD68" s="186">
        <v>3.3000000000000002E-2</v>
      </c>
      <c r="DE68" s="159">
        <v>3.1E-2</v>
      </c>
      <c r="DF68" s="203">
        <v>3.1E-2</v>
      </c>
      <c r="DG68" s="204">
        <v>0.03</v>
      </c>
      <c r="DH68" s="205">
        <v>2.9000000000000001E-2</v>
      </c>
      <c r="DI68" s="158"/>
    </row>
    <row r="69" spans="1:113" x14ac:dyDescent="0.2">
      <c r="A69" s="363"/>
      <c r="B69" s="241" t="s">
        <v>285</v>
      </c>
      <c r="C69" s="158">
        <v>27</v>
      </c>
      <c r="D69" s="206">
        <v>6.0000000000000001E-3</v>
      </c>
      <c r="E69" s="179">
        <v>2.1000000000000001E-2</v>
      </c>
      <c r="F69" s="163">
        <v>2.9000000000000001E-2</v>
      </c>
      <c r="G69" s="166">
        <v>3.5000000000000003E-2</v>
      </c>
      <c r="H69" s="207">
        <v>4.1000000000000002E-2</v>
      </c>
      <c r="I69" s="181">
        <v>4.2000000000000003E-2</v>
      </c>
      <c r="J69" s="170">
        <v>0.04</v>
      </c>
      <c r="K69" s="208">
        <v>3.6999999999999998E-2</v>
      </c>
      <c r="L69" s="161">
        <v>3.5999999999999997E-2</v>
      </c>
      <c r="M69" s="165">
        <v>3.4000000000000002E-2</v>
      </c>
      <c r="N69" s="167">
        <v>3.3000000000000002E-2</v>
      </c>
      <c r="O69" s="158"/>
      <c r="P69" s="158"/>
      <c r="R69" s="241" t="s">
        <v>285</v>
      </c>
      <c r="S69" s="158">
        <v>27</v>
      </c>
      <c r="T69" s="206">
        <v>6.0000000000000001E-3</v>
      </c>
      <c r="U69" s="179">
        <v>2.1000000000000001E-2</v>
      </c>
      <c r="V69" s="163">
        <v>2.9000000000000001E-2</v>
      </c>
      <c r="W69" s="166">
        <v>3.5000000000000003E-2</v>
      </c>
      <c r="X69" s="207">
        <v>4.1000000000000002E-2</v>
      </c>
      <c r="Y69" s="181">
        <v>4.2000000000000003E-2</v>
      </c>
      <c r="Z69" s="170">
        <v>0.04</v>
      </c>
      <c r="AA69" s="208">
        <v>3.6999999999999998E-2</v>
      </c>
      <c r="AB69" s="161">
        <v>3.5999999999999997E-2</v>
      </c>
      <c r="AC69" s="165">
        <v>3.4000000000000002E-2</v>
      </c>
      <c r="AD69" s="167">
        <v>3.3000000000000002E-2</v>
      </c>
      <c r="AE69" s="158"/>
      <c r="AF69" s="158"/>
      <c r="AH69" s="241" t="s">
        <v>285</v>
      </c>
      <c r="AI69" s="158">
        <v>27</v>
      </c>
      <c r="AJ69" s="206">
        <v>6.0000000000000001E-3</v>
      </c>
      <c r="AK69" s="179">
        <v>2.1000000000000001E-2</v>
      </c>
      <c r="AL69" s="163">
        <v>2.9000000000000001E-2</v>
      </c>
      <c r="AM69" s="166">
        <v>3.5000000000000003E-2</v>
      </c>
      <c r="AN69" s="207">
        <v>4.1000000000000002E-2</v>
      </c>
      <c r="AO69" s="181">
        <v>4.2000000000000003E-2</v>
      </c>
      <c r="AP69" s="170">
        <v>0.04</v>
      </c>
      <c r="AQ69" s="208">
        <v>3.6999999999999998E-2</v>
      </c>
      <c r="AR69" s="161">
        <v>3.5999999999999997E-2</v>
      </c>
      <c r="AS69" s="165">
        <v>3.4000000000000002E-2</v>
      </c>
      <c r="AT69" s="167">
        <v>3.3000000000000002E-2</v>
      </c>
      <c r="AU69" s="158"/>
      <c r="AV69" s="158"/>
      <c r="AX69" s="241" t="s">
        <v>285</v>
      </c>
      <c r="AY69" s="158">
        <v>27</v>
      </c>
      <c r="AZ69" s="206">
        <v>6.0000000000000001E-3</v>
      </c>
      <c r="BA69" s="179">
        <v>2.1000000000000001E-2</v>
      </c>
      <c r="BB69" s="163">
        <v>2.9000000000000001E-2</v>
      </c>
      <c r="BC69" s="166">
        <v>3.5000000000000003E-2</v>
      </c>
      <c r="BD69" s="207">
        <v>4.1000000000000002E-2</v>
      </c>
      <c r="BE69" s="181">
        <v>4.2000000000000003E-2</v>
      </c>
      <c r="BF69" s="170">
        <v>0.04</v>
      </c>
      <c r="BG69" s="208">
        <v>3.6999999999999998E-2</v>
      </c>
      <c r="BH69" s="161">
        <v>3.5999999999999997E-2</v>
      </c>
      <c r="BI69" s="165">
        <v>3.4000000000000002E-2</v>
      </c>
      <c r="BJ69" s="167">
        <v>3.3000000000000002E-2</v>
      </c>
      <c r="BK69" s="158"/>
      <c r="BL69" s="158"/>
      <c r="BN69" s="241" t="s">
        <v>285</v>
      </c>
      <c r="BO69" s="158">
        <v>27</v>
      </c>
      <c r="BP69" s="206">
        <v>6.0000000000000001E-3</v>
      </c>
      <c r="BQ69" s="179">
        <v>2.1000000000000001E-2</v>
      </c>
      <c r="BR69" s="163">
        <v>2.9000000000000001E-2</v>
      </c>
      <c r="BS69" s="166">
        <v>3.5000000000000003E-2</v>
      </c>
      <c r="BT69" s="207">
        <v>4.1000000000000002E-2</v>
      </c>
      <c r="BU69" s="181">
        <v>4.2000000000000003E-2</v>
      </c>
      <c r="BV69" s="170">
        <v>0.04</v>
      </c>
      <c r="BW69" s="208">
        <v>3.6999999999999998E-2</v>
      </c>
      <c r="BX69" s="161">
        <v>3.5999999999999997E-2</v>
      </c>
      <c r="BY69" s="165">
        <v>3.4000000000000002E-2</v>
      </c>
      <c r="BZ69" s="167">
        <v>3.3000000000000002E-2</v>
      </c>
      <c r="CA69" s="158"/>
      <c r="CB69" s="158"/>
      <c r="CD69" s="241" t="s">
        <v>285</v>
      </c>
      <c r="CE69" s="158">
        <v>27</v>
      </c>
      <c r="CF69" s="158"/>
      <c r="CG69" s="206">
        <v>6.0000000000000001E-3</v>
      </c>
      <c r="CH69" s="179">
        <v>2.1000000000000001E-2</v>
      </c>
      <c r="CI69" s="163">
        <v>2.9000000000000001E-2</v>
      </c>
      <c r="CJ69" s="166">
        <v>3.5000000000000003E-2</v>
      </c>
      <c r="CK69" s="207">
        <v>4.1000000000000002E-2</v>
      </c>
      <c r="CL69" s="181">
        <v>4.2000000000000003E-2</v>
      </c>
      <c r="CM69" s="170">
        <v>0.04</v>
      </c>
      <c r="CN69" s="208">
        <v>3.6999999999999998E-2</v>
      </c>
      <c r="CO69" s="161">
        <v>3.5999999999999997E-2</v>
      </c>
      <c r="CP69" s="165">
        <v>3.4000000000000002E-2</v>
      </c>
      <c r="CQ69" s="167">
        <v>3.3000000000000002E-2</v>
      </c>
      <c r="CR69" s="158"/>
      <c r="CS69" s="158"/>
      <c r="CU69" s="241" t="s">
        <v>285</v>
      </c>
      <c r="CV69" s="158">
        <v>27</v>
      </c>
      <c r="CW69" s="206">
        <v>6.0000000000000001E-3</v>
      </c>
      <c r="CX69" s="179">
        <v>2.1000000000000001E-2</v>
      </c>
      <c r="CY69" s="163">
        <v>2.9000000000000001E-2</v>
      </c>
      <c r="CZ69" s="166">
        <v>3.5000000000000003E-2</v>
      </c>
      <c r="DA69" s="207">
        <v>4.1000000000000002E-2</v>
      </c>
      <c r="DB69" s="181">
        <v>4.2000000000000003E-2</v>
      </c>
      <c r="DC69" s="170">
        <v>0.04</v>
      </c>
      <c r="DD69" s="208">
        <v>3.6999999999999998E-2</v>
      </c>
      <c r="DE69" s="161">
        <v>3.5999999999999997E-2</v>
      </c>
      <c r="DF69" s="165">
        <v>3.4000000000000002E-2</v>
      </c>
      <c r="DG69" s="167">
        <v>3.3000000000000002E-2</v>
      </c>
      <c r="DH69" s="158"/>
      <c r="DI69" s="158"/>
    </row>
    <row r="70" spans="1:113" x14ac:dyDescent="0.2">
      <c r="A70" s="363"/>
      <c r="B70" s="241" t="s">
        <v>286</v>
      </c>
      <c r="C70" s="169">
        <v>27.5</v>
      </c>
      <c r="D70" s="177">
        <v>6.0000000000000001E-3</v>
      </c>
      <c r="E70" s="198">
        <v>0.02</v>
      </c>
      <c r="F70" s="209">
        <v>3.2000000000000001E-2</v>
      </c>
      <c r="G70" s="182">
        <v>0.04</v>
      </c>
      <c r="H70" s="172">
        <v>4.2999999999999997E-2</v>
      </c>
      <c r="I70" s="210">
        <v>4.2999999999999997E-2</v>
      </c>
      <c r="J70" s="211">
        <v>4.1000000000000002E-2</v>
      </c>
      <c r="K70" s="201">
        <v>3.7999999999999999E-2</v>
      </c>
      <c r="L70" s="174">
        <v>3.6999999999999998E-2</v>
      </c>
      <c r="M70" s="166">
        <v>3.5000000000000003E-2</v>
      </c>
      <c r="N70" s="158"/>
      <c r="O70" s="158"/>
      <c r="P70" s="158"/>
      <c r="R70" s="241" t="s">
        <v>286</v>
      </c>
      <c r="S70" s="169">
        <v>27.5</v>
      </c>
      <c r="T70" s="177">
        <v>6.0000000000000001E-3</v>
      </c>
      <c r="U70" s="198">
        <v>0.02</v>
      </c>
      <c r="V70" s="209">
        <v>3.2000000000000001E-2</v>
      </c>
      <c r="W70" s="182">
        <v>0.04</v>
      </c>
      <c r="X70" s="172">
        <v>4.2999999999999997E-2</v>
      </c>
      <c r="Y70" s="210">
        <v>4.2999999999999997E-2</v>
      </c>
      <c r="Z70" s="211">
        <v>4.1000000000000002E-2</v>
      </c>
      <c r="AA70" s="201">
        <v>3.7999999999999999E-2</v>
      </c>
      <c r="AB70" s="174">
        <v>3.6999999999999998E-2</v>
      </c>
      <c r="AC70" s="166">
        <v>3.5000000000000003E-2</v>
      </c>
      <c r="AD70" s="158"/>
      <c r="AE70" s="158"/>
      <c r="AF70" s="158"/>
      <c r="AH70" s="241" t="s">
        <v>286</v>
      </c>
      <c r="AI70" s="169">
        <v>27.5</v>
      </c>
      <c r="AJ70" s="177">
        <v>6.0000000000000001E-3</v>
      </c>
      <c r="AK70" s="198">
        <v>0.02</v>
      </c>
      <c r="AL70" s="209">
        <v>3.2000000000000001E-2</v>
      </c>
      <c r="AM70" s="182">
        <v>0.04</v>
      </c>
      <c r="AN70" s="172">
        <v>4.2999999999999997E-2</v>
      </c>
      <c r="AO70" s="210">
        <v>4.2999999999999997E-2</v>
      </c>
      <c r="AP70" s="211">
        <v>4.1000000000000002E-2</v>
      </c>
      <c r="AQ70" s="201">
        <v>3.7999999999999999E-2</v>
      </c>
      <c r="AR70" s="174">
        <v>3.6999999999999998E-2</v>
      </c>
      <c r="AS70" s="166">
        <v>3.5000000000000003E-2</v>
      </c>
      <c r="AT70" s="158"/>
      <c r="AU70" s="158"/>
      <c r="AV70" s="158"/>
      <c r="AX70" s="241" t="s">
        <v>286</v>
      </c>
      <c r="AY70" s="169">
        <v>27.5</v>
      </c>
      <c r="AZ70" s="177">
        <v>6.0000000000000001E-3</v>
      </c>
      <c r="BA70" s="198">
        <v>0.02</v>
      </c>
      <c r="BB70" s="209">
        <v>3.2000000000000001E-2</v>
      </c>
      <c r="BC70" s="182">
        <v>0.04</v>
      </c>
      <c r="BD70" s="172">
        <v>4.2999999999999997E-2</v>
      </c>
      <c r="BE70" s="210">
        <v>4.2999999999999997E-2</v>
      </c>
      <c r="BF70" s="211">
        <v>4.1000000000000002E-2</v>
      </c>
      <c r="BG70" s="201">
        <v>3.7999999999999999E-2</v>
      </c>
      <c r="BH70" s="174">
        <v>3.6999999999999998E-2</v>
      </c>
      <c r="BI70" s="166">
        <v>3.5000000000000003E-2</v>
      </c>
      <c r="BJ70" s="158"/>
      <c r="BK70" s="158"/>
      <c r="BL70" s="158"/>
      <c r="BN70" s="241" t="s">
        <v>286</v>
      </c>
      <c r="BO70" s="169">
        <v>27.5</v>
      </c>
      <c r="BP70" s="177">
        <v>6.0000000000000001E-3</v>
      </c>
      <c r="BQ70" s="198">
        <v>0.02</v>
      </c>
      <c r="BR70" s="209">
        <v>3.2000000000000001E-2</v>
      </c>
      <c r="BS70" s="182">
        <v>0.04</v>
      </c>
      <c r="BT70" s="172">
        <v>4.2999999999999997E-2</v>
      </c>
      <c r="BU70" s="210">
        <v>4.2999999999999997E-2</v>
      </c>
      <c r="BV70" s="211">
        <v>4.1000000000000002E-2</v>
      </c>
      <c r="BW70" s="201">
        <v>3.7999999999999999E-2</v>
      </c>
      <c r="BX70" s="174">
        <v>3.6999999999999998E-2</v>
      </c>
      <c r="BY70" s="166">
        <v>3.5000000000000003E-2</v>
      </c>
      <c r="BZ70" s="158"/>
      <c r="CA70" s="158"/>
      <c r="CB70" s="158"/>
      <c r="CD70" s="241" t="s">
        <v>286</v>
      </c>
      <c r="CE70" s="169">
        <v>27.5</v>
      </c>
      <c r="CF70" s="169"/>
      <c r="CG70" s="177">
        <v>6.0000000000000001E-3</v>
      </c>
      <c r="CH70" s="198">
        <v>0.02</v>
      </c>
      <c r="CI70" s="209">
        <v>3.2000000000000001E-2</v>
      </c>
      <c r="CJ70" s="182">
        <v>0.04</v>
      </c>
      <c r="CK70" s="172">
        <v>4.2999999999999997E-2</v>
      </c>
      <c r="CL70" s="210">
        <v>4.2999999999999997E-2</v>
      </c>
      <c r="CM70" s="211">
        <v>4.1000000000000002E-2</v>
      </c>
      <c r="CN70" s="201">
        <v>3.7999999999999999E-2</v>
      </c>
      <c r="CO70" s="174">
        <v>3.6999999999999998E-2</v>
      </c>
      <c r="CP70" s="166">
        <v>3.5000000000000003E-2</v>
      </c>
      <c r="CQ70" s="158"/>
      <c r="CR70" s="158"/>
      <c r="CS70" s="158"/>
      <c r="CU70" s="241" t="s">
        <v>286</v>
      </c>
      <c r="CV70" s="169">
        <v>27.5</v>
      </c>
      <c r="CW70" s="177">
        <v>6.0000000000000001E-3</v>
      </c>
      <c r="CX70" s="198">
        <v>0.02</v>
      </c>
      <c r="CY70" s="209">
        <v>3.2000000000000001E-2</v>
      </c>
      <c r="CZ70" s="182">
        <v>0.04</v>
      </c>
      <c r="DA70" s="172">
        <v>4.2999999999999997E-2</v>
      </c>
      <c r="DB70" s="210">
        <v>4.2999999999999997E-2</v>
      </c>
      <c r="DC70" s="211">
        <v>4.1000000000000002E-2</v>
      </c>
      <c r="DD70" s="201">
        <v>3.7999999999999999E-2</v>
      </c>
      <c r="DE70" s="174">
        <v>3.6999999999999998E-2</v>
      </c>
      <c r="DF70" s="166">
        <v>3.5000000000000003E-2</v>
      </c>
      <c r="DG70" s="158"/>
      <c r="DH70" s="158"/>
      <c r="DI70" s="158"/>
    </row>
    <row r="71" spans="1:113" x14ac:dyDescent="0.2">
      <c r="A71" s="363"/>
      <c r="B71" s="241" t="s">
        <v>287</v>
      </c>
      <c r="C71" s="169">
        <v>31.8</v>
      </c>
      <c r="D71" s="188">
        <v>7.0000000000000001E-3</v>
      </c>
      <c r="E71" s="212">
        <v>2.3E-2</v>
      </c>
      <c r="F71" s="190">
        <v>3.3000000000000002E-2</v>
      </c>
      <c r="G71" s="184">
        <v>3.9E-2</v>
      </c>
      <c r="H71" s="213">
        <v>4.3999999999999997E-2</v>
      </c>
      <c r="I71" s="210">
        <v>4.2999999999999997E-2</v>
      </c>
      <c r="J71" s="214">
        <v>4.2000000000000003E-2</v>
      </c>
      <c r="K71" s="173">
        <v>3.9E-2</v>
      </c>
      <c r="L71" s="174">
        <v>3.6999999999999998E-2</v>
      </c>
      <c r="M71" s="158"/>
      <c r="N71" s="158"/>
      <c r="O71" s="158"/>
      <c r="P71" s="158"/>
      <c r="R71" s="241" t="s">
        <v>287</v>
      </c>
      <c r="S71" s="169">
        <v>31.8</v>
      </c>
      <c r="T71" s="188">
        <v>7.0000000000000001E-3</v>
      </c>
      <c r="U71" s="212">
        <v>2.3E-2</v>
      </c>
      <c r="V71" s="190">
        <v>3.3000000000000002E-2</v>
      </c>
      <c r="W71" s="184">
        <v>3.9E-2</v>
      </c>
      <c r="X71" s="213">
        <v>4.3999999999999997E-2</v>
      </c>
      <c r="Y71" s="210">
        <v>4.2999999999999997E-2</v>
      </c>
      <c r="Z71" s="214">
        <v>4.2000000000000003E-2</v>
      </c>
      <c r="AA71" s="173">
        <v>3.9E-2</v>
      </c>
      <c r="AB71" s="174">
        <v>3.6999999999999998E-2</v>
      </c>
      <c r="AC71" s="158"/>
      <c r="AD71" s="158"/>
      <c r="AE71" s="158"/>
      <c r="AF71" s="158"/>
      <c r="AH71" s="241" t="s">
        <v>287</v>
      </c>
      <c r="AI71" s="169">
        <v>31.8</v>
      </c>
      <c r="AJ71" s="188">
        <v>7.0000000000000001E-3</v>
      </c>
      <c r="AK71" s="212">
        <v>2.3E-2</v>
      </c>
      <c r="AL71" s="190">
        <v>3.3000000000000002E-2</v>
      </c>
      <c r="AM71" s="184">
        <v>3.9E-2</v>
      </c>
      <c r="AN71" s="213">
        <v>4.3999999999999997E-2</v>
      </c>
      <c r="AO71" s="210">
        <v>4.2999999999999997E-2</v>
      </c>
      <c r="AP71" s="214">
        <v>4.2000000000000003E-2</v>
      </c>
      <c r="AQ71" s="173">
        <v>3.9E-2</v>
      </c>
      <c r="AR71" s="174">
        <v>3.6999999999999998E-2</v>
      </c>
      <c r="AS71" s="158"/>
      <c r="AT71" s="158"/>
      <c r="AU71" s="158"/>
      <c r="AV71" s="158"/>
      <c r="AX71" s="241" t="s">
        <v>287</v>
      </c>
      <c r="AY71" s="169">
        <v>31.8</v>
      </c>
      <c r="AZ71" s="188">
        <v>7.0000000000000001E-3</v>
      </c>
      <c r="BA71" s="212">
        <v>2.3E-2</v>
      </c>
      <c r="BB71" s="190">
        <v>3.3000000000000002E-2</v>
      </c>
      <c r="BC71" s="184">
        <v>3.9E-2</v>
      </c>
      <c r="BD71" s="213">
        <v>4.3999999999999997E-2</v>
      </c>
      <c r="BE71" s="210">
        <v>4.2999999999999997E-2</v>
      </c>
      <c r="BF71" s="214">
        <v>4.2000000000000003E-2</v>
      </c>
      <c r="BG71" s="173">
        <v>3.9E-2</v>
      </c>
      <c r="BH71" s="174">
        <v>3.6999999999999998E-2</v>
      </c>
      <c r="BI71" s="158"/>
      <c r="BJ71" s="158"/>
      <c r="BK71" s="158"/>
      <c r="BL71" s="158"/>
      <c r="BN71" s="241" t="s">
        <v>287</v>
      </c>
      <c r="BO71" s="169">
        <v>31.8</v>
      </c>
      <c r="BP71" s="188">
        <v>7.0000000000000001E-3</v>
      </c>
      <c r="BQ71" s="212">
        <v>2.3E-2</v>
      </c>
      <c r="BR71" s="190">
        <v>3.3000000000000002E-2</v>
      </c>
      <c r="BS71" s="184">
        <v>3.9E-2</v>
      </c>
      <c r="BT71" s="213">
        <v>4.3999999999999997E-2</v>
      </c>
      <c r="BU71" s="210">
        <v>4.2999999999999997E-2</v>
      </c>
      <c r="BV71" s="214">
        <v>4.2000000000000003E-2</v>
      </c>
      <c r="BW71" s="173">
        <v>3.9E-2</v>
      </c>
      <c r="BX71" s="174">
        <v>3.6999999999999998E-2</v>
      </c>
      <c r="BY71" s="158"/>
      <c r="BZ71" s="158"/>
      <c r="CA71" s="158"/>
      <c r="CB71" s="158"/>
      <c r="CD71" s="241" t="s">
        <v>287</v>
      </c>
      <c r="CE71" s="169">
        <v>31.8</v>
      </c>
      <c r="CF71" s="169"/>
      <c r="CG71" s="188">
        <v>7.0000000000000001E-3</v>
      </c>
      <c r="CH71" s="212">
        <v>2.3E-2</v>
      </c>
      <c r="CI71" s="190">
        <v>3.3000000000000002E-2</v>
      </c>
      <c r="CJ71" s="184">
        <v>3.9E-2</v>
      </c>
      <c r="CK71" s="213">
        <v>4.3999999999999997E-2</v>
      </c>
      <c r="CL71" s="210">
        <v>4.2999999999999997E-2</v>
      </c>
      <c r="CM71" s="214">
        <v>4.2000000000000003E-2</v>
      </c>
      <c r="CN71" s="173">
        <v>3.9E-2</v>
      </c>
      <c r="CO71" s="174">
        <v>3.6999999999999998E-2</v>
      </c>
      <c r="CP71" s="158"/>
      <c r="CQ71" s="158"/>
      <c r="CR71" s="158"/>
      <c r="CS71" s="158"/>
      <c r="CU71" s="241" t="s">
        <v>287</v>
      </c>
      <c r="CV71" s="169">
        <v>31.8</v>
      </c>
      <c r="CW71" s="188">
        <v>7.0000000000000001E-3</v>
      </c>
      <c r="CX71" s="212">
        <v>2.3E-2</v>
      </c>
      <c r="CY71" s="190">
        <v>3.3000000000000002E-2</v>
      </c>
      <c r="CZ71" s="184">
        <v>3.9E-2</v>
      </c>
      <c r="DA71" s="213">
        <v>4.3999999999999997E-2</v>
      </c>
      <c r="DB71" s="210">
        <v>4.2999999999999997E-2</v>
      </c>
      <c r="DC71" s="214">
        <v>4.2000000000000003E-2</v>
      </c>
      <c r="DD71" s="173">
        <v>3.9E-2</v>
      </c>
      <c r="DE71" s="174">
        <v>3.6999999999999998E-2</v>
      </c>
      <c r="DF71" s="158"/>
      <c r="DG71" s="158"/>
      <c r="DH71" s="158"/>
      <c r="DI71" s="158"/>
    </row>
    <row r="72" spans="1:113" x14ac:dyDescent="0.2">
      <c r="A72" s="363"/>
      <c r="B72" s="241" t="s">
        <v>288</v>
      </c>
      <c r="C72" s="169">
        <v>32.799999999999997</v>
      </c>
      <c r="D72" s="215">
        <v>8.9999999999999993E-3</v>
      </c>
      <c r="E72" s="216">
        <v>2.7E-2</v>
      </c>
      <c r="F72" s="193">
        <v>3.5999999999999997E-2</v>
      </c>
      <c r="G72" s="213">
        <v>4.3999999999999997E-2</v>
      </c>
      <c r="H72" s="217">
        <v>4.8000000000000001E-2</v>
      </c>
      <c r="I72" s="218">
        <v>4.9000000000000002E-2</v>
      </c>
      <c r="J72" s="171">
        <v>4.7E-2</v>
      </c>
      <c r="K72" s="213">
        <v>4.3999999999999997E-2</v>
      </c>
      <c r="L72" s="158"/>
      <c r="M72" s="158"/>
      <c r="N72" s="158"/>
      <c r="O72" s="158"/>
      <c r="P72" s="158"/>
      <c r="R72" s="241" t="s">
        <v>288</v>
      </c>
      <c r="S72" s="169">
        <v>32.799999999999997</v>
      </c>
      <c r="T72" s="215">
        <v>8.9999999999999993E-3</v>
      </c>
      <c r="U72" s="216">
        <v>2.7E-2</v>
      </c>
      <c r="V72" s="193">
        <v>3.5999999999999997E-2</v>
      </c>
      <c r="W72" s="213">
        <v>4.3999999999999997E-2</v>
      </c>
      <c r="X72" s="217">
        <v>4.8000000000000001E-2</v>
      </c>
      <c r="Y72" s="218">
        <v>4.9000000000000002E-2</v>
      </c>
      <c r="Z72" s="171">
        <v>4.7E-2</v>
      </c>
      <c r="AA72" s="213">
        <v>4.3999999999999997E-2</v>
      </c>
      <c r="AB72" s="158"/>
      <c r="AC72" s="158"/>
      <c r="AD72" s="158"/>
      <c r="AE72" s="158"/>
      <c r="AF72" s="158"/>
      <c r="AH72" s="241" t="s">
        <v>288</v>
      </c>
      <c r="AI72" s="169">
        <v>32.799999999999997</v>
      </c>
      <c r="AJ72" s="215">
        <v>8.9999999999999993E-3</v>
      </c>
      <c r="AK72" s="216">
        <v>2.7E-2</v>
      </c>
      <c r="AL72" s="193">
        <v>3.5999999999999997E-2</v>
      </c>
      <c r="AM72" s="213">
        <v>4.3999999999999997E-2</v>
      </c>
      <c r="AN72" s="217">
        <v>4.8000000000000001E-2</v>
      </c>
      <c r="AO72" s="218">
        <v>4.9000000000000002E-2</v>
      </c>
      <c r="AP72" s="171">
        <v>4.7E-2</v>
      </c>
      <c r="AQ72" s="213">
        <v>4.3999999999999997E-2</v>
      </c>
      <c r="AR72" s="158"/>
      <c r="AS72" s="158"/>
      <c r="AT72" s="158"/>
      <c r="AU72" s="158"/>
      <c r="AV72" s="158"/>
      <c r="AX72" s="241" t="s">
        <v>288</v>
      </c>
      <c r="AY72" s="169">
        <v>32.799999999999997</v>
      </c>
      <c r="AZ72" s="215">
        <v>8.9999999999999993E-3</v>
      </c>
      <c r="BA72" s="216">
        <v>2.7E-2</v>
      </c>
      <c r="BB72" s="193">
        <v>3.5999999999999997E-2</v>
      </c>
      <c r="BC72" s="213">
        <v>4.3999999999999997E-2</v>
      </c>
      <c r="BD72" s="217">
        <v>4.8000000000000001E-2</v>
      </c>
      <c r="BE72" s="218">
        <v>4.9000000000000002E-2</v>
      </c>
      <c r="BF72" s="171">
        <v>4.7E-2</v>
      </c>
      <c r="BG72" s="213">
        <v>4.3999999999999997E-2</v>
      </c>
      <c r="BH72" s="158"/>
      <c r="BI72" s="158"/>
      <c r="BJ72" s="158"/>
      <c r="BK72" s="158"/>
      <c r="BL72" s="158"/>
      <c r="BN72" s="241" t="s">
        <v>288</v>
      </c>
      <c r="BO72" s="169">
        <v>32.799999999999997</v>
      </c>
      <c r="BP72" s="215">
        <v>8.9999999999999993E-3</v>
      </c>
      <c r="BQ72" s="216">
        <v>2.7E-2</v>
      </c>
      <c r="BR72" s="193">
        <v>3.5999999999999997E-2</v>
      </c>
      <c r="BS72" s="213">
        <v>4.3999999999999997E-2</v>
      </c>
      <c r="BT72" s="217">
        <v>4.8000000000000001E-2</v>
      </c>
      <c r="BU72" s="218">
        <v>4.9000000000000002E-2</v>
      </c>
      <c r="BV72" s="171">
        <v>4.7E-2</v>
      </c>
      <c r="BW72" s="213">
        <v>4.3999999999999997E-2</v>
      </c>
      <c r="BX72" s="158"/>
      <c r="BY72" s="158"/>
      <c r="BZ72" s="158"/>
      <c r="CA72" s="158"/>
      <c r="CB72" s="158"/>
      <c r="CD72" s="241" t="s">
        <v>288</v>
      </c>
      <c r="CE72" s="169">
        <v>32.799999999999997</v>
      </c>
      <c r="CF72" s="169"/>
      <c r="CG72" s="215">
        <v>8.9999999999999993E-3</v>
      </c>
      <c r="CH72" s="216">
        <v>2.7E-2</v>
      </c>
      <c r="CI72" s="193">
        <v>3.5999999999999997E-2</v>
      </c>
      <c r="CJ72" s="213">
        <v>4.3999999999999997E-2</v>
      </c>
      <c r="CK72" s="217">
        <v>4.8000000000000001E-2</v>
      </c>
      <c r="CL72" s="218">
        <v>4.9000000000000002E-2</v>
      </c>
      <c r="CM72" s="171">
        <v>4.7E-2</v>
      </c>
      <c r="CN72" s="213">
        <v>4.3999999999999997E-2</v>
      </c>
      <c r="CO72" s="158"/>
      <c r="CP72" s="158"/>
      <c r="CQ72" s="158"/>
      <c r="CR72" s="158"/>
      <c r="CS72" s="158"/>
      <c r="CU72" s="241" t="s">
        <v>288</v>
      </c>
      <c r="CV72" s="169">
        <v>32.799999999999997</v>
      </c>
      <c r="CW72" s="215">
        <v>8.9999999999999993E-3</v>
      </c>
      <c r="CX72" s="216">
        <v>2.7E-2</v>
      </c>
      <c r="CY72" s="193">
        <v>3.5999999999999997E-2</v>
      </c>
      <c r="CZ72" s="213">
        <v>4.3999999999999997E-2</v>
      </c>
      <c r="DA72" s="217">
        <v>4.8000000000000001E-2</v>
      </c>
      <c r="DB72" s="218">
        <v>4.9000000000000002E-2</v>
      </c>
      <c r="DC72" s="171">
        <v>4.7E-2</v>
      </c>
      <c r="DD72" s="213">
        <v>4.3999999999999997E-2</v>
      </c>
      <c r="DE72" s="158"/>
      <c r="DF72" s="158"/>
      <c r="DG72" s="158"/>
      <c r="DH72" s="158"/>
      <c r="DI72" s="158"/>
    </row>
    <row r="73" spans="1:113" x14ac:dyDescent="0.2">
      <c r="A73" s="363"/>
      <c r="B73" s="241" t="s">
        <v>289</v>
      </c>
      <c r="C73" s="169">
        <v>32.6</v>
      </c>
      <c r="D73" s="183">
        <v>8.0000000000000002E-3</v>
      </c>
      <c r="E73" s="178">
        <v>2.4E-2</v>
      </c>
      <c r="F73" s="189">
        <v>3.5000000000000003E-2</v>
      </c>
      <c r="G73" s="180">
        <v>4.2999999999999997E-2</v>
      </c>
      <c r="H73" s="219">
        <v>4.7E-2</v>
      </c>
      <c r="I73" s="220">
        <v>4.8000000000000001E-2</v>
      </c>
      <c r="J73" s="221">
        <v>4.5999999999999999E-2</v>
      </c>
      <c r="K73" s="158"/>
      <c r="L73" s="158"/>
      <c r="M73" s="158"/>
      <c r="N73" s="158"/>
      <c r="O73" s="158"/>
      <c r="P73" s="158"/>
      <c r="R73" s="241" t="s">
        <v>289</v>
      </c>
      <c r="S73" s="169">
        <v>32.6</v>
      </c>
      <c r="T73" s="183">
        <v>8.0000000000000002E-3</v>
      </c>
      <c r="U73" s="178">
        <v>2.4E-2</v>
      </c>
      <c r="V73" s="189">
        <v>3.5000000000000003E-2</v>
      </c>
      <c r="W73" s="180">
        <v>4.2999999999999997E-2</v>
      </c>
      <c r="X73" s="219">
        <v>4.7E-2</v>
      </c>
      <c r="Y73" s="220">
        <v>4.8000000000000001E-2</v>
      </c>
      <c r="Z73" s="221">
        <v>4.5999999999999999E-2</v>
      </c>
      <c r="AA73" s="158"/>
      <c r="AB73" s="158"/>
      <c r="AC73" s="158"/>
      <c r="AD73" s="158"/>
      <c r="AE73" s="158"/>
      <c r="AF73" s="158"/>
      <c r="AH73" s="241" t="s">
        <v>289</v>
      </c>
      <c r="AI73" s="169">
        <v>32.6</v>
      </c>
      <c r="AJ73" s="183">
        <v>8.0000000000000002E-3</v>
      </c>
      <c r="AK73" s="178">
        <v>2.4E-2</v>
      </c>
      <c r="AL73" s="189">
        <v>3.5000000000000003E-2</v>
      </c>
      <c r="AM73" s="180">
        <v>4.2999999999999997E-2</v>
      </c>
      <c r="AN73" s="219">
        <v>4.7E-2</v>
      </c>
      <c r="AO73" s="220">
        <v>4.8000000000000001E-2</v>
      </c>
      <c r="AP73" s="221">
        <v>4.5999999999999999E-2</v>
      </c>
      <c r="AQ73" s="158"/>
      <c r="AR73" s="158"/>
      <c r="AS73" s="158"/>
      <c r="AT73" s="158"/>
      <c r="AU73" s="158"/>
      <c r="AV73" s="158"/>
      <c r="AX73" s="241" t="s">
        <v>289</v>
      </c>
      <c r="AY73" s="169">
        <v>32.6</v>
      </c>
      <c r="AZ73" s="183">
        <v>8.0000000000000002E-3</v>
      </c>
      <c r="BA73" s="178">
        <v>2.4E-2</v>
      </c>
      <c r="BB73" s="189">
        <v>3.5000000000000003E-2</v>
      </c>
      <c r="BC73" s="180">
        <v>4.2999999999999997E-2</v>
      </c>
      <c r="BD73" s="219">
        <v>4.7E-2</v>
      </c>
      <c r="BE73" s="220">
        <v>4.8000000000000001E-2</v>
      </c>
      <c r="BF73" s="221">
        <v>4.5999999999999999E-2</v>
      </c>
      <c r="BG73" s="158"/>
      <c r="BH73" s="158"/>
      <c r="BI73" s="158"/>
      <c r="BJ73" s="158"/>
      <c r="BK73" s="158"/>
      <c r="BL73" s="158"/>
      <c r="BN73" s="241" t="s">
        <v>289</v>
      </c>
      <c r="BO73" s="169">
        <v>32.6</v>
      </c>
      <c r="BP73" s="183">
        <v>8.0000000000000002E-3</v>
      </c>
      <c r="BQ73" s="178">
        <v>2.4E-2</v>
      </c>
      <c r="BR73" s="189">
        <v>3.5000000000000003E-2</v>
      </c>
      <c r="BS73" s="180">
        <v>4.2999999999999997E-2</v>
      </c>
      <c r="BT73" s="219">
        <v>4.7E-2</v>
      </c>
      <c r="BU73" s="220">
        <v>4.8000000000000001E-2</v>
      </c>
      <c r="BV73" s="221">
        <v>4.5999999999999999E-2</v>
      </c>
      <c r="BW73" s="158"/>
      <c r="BX73" s="158"/>
      <c r="BY73" s="158"/>
      <c r="BZ73" s="158"/>
      <c r="CA73" s="158"/>
      <c r="CB73" s="158"/>
      <c r="CD73" s="241" t="s">
        <v>289</v>
      </c>
      <c r="CE73" s="169">
        <v>32.6</v>
      </c>
      <c r="CF73" s="169"/>
      <c r="CG73" s="183">
        <v>8.0000000000000002E-3</v>
      </c>
      <c r="CH73" s="178">
        <v>2.4E-2</v>
      </c>
      <c r="CI73" s="189">
        <v>3.5000000000000003E-2</v>
      </c>
      <c r="CJ73" s="180">
        <v>4.2999999999999997E-2</v>
      </c>
      <c r="CK73" s="219">
        <v>4.7E-2</v>
      </c>
      <c r="CL73" s="220">
        <v>4.8000000000000001E-2</v>
      </c>
      <c r="CM73" s="221">
        <v>4.5999999999999999E-2</v>
      </c>
      <c r="CN73" s="158"/>
      <c r="CO73" s="158"/>
      <c r="CP73" s="158"/>
      <c r="CQ73" s="158"/>
      <c r="CR73" s="158"/>
      <c r="CS73" s="158"/>
      <c r="CU73" s="241" t="s">
        <v>289</v>
      </c>
      <c r="CV73" s="169">
        <v>32.6</v>
      </c>
      <c r="CW73" s="183">
        <v>8.0000000000000002E-3</v>
      </c>
      <c r="CX73" s="178">
        <v>2.4E-2</v>
      </c>
      <c r="CY73" s="189">
        <v>3.5000000000000003E-2</v>
      </c>
      <c r="CZ73" s="180">
        <v>4.2999999999999997E-2</v>
      </c>
      <c r="DA73" s="219">
        <v>4.7E-2</v>
      </c>
      <c r="DB73" s="220">
        <v>4.8000000000000001E-2</v>
      </c>
      <c r="DC73" s="221">
        <v>4.5999999999999999E-2</v>
      </c>
      <c r="DD73" s="158"/>
      <c r="DE73" s="158"/>
      <c r="DF73" s="158"/>
      <c r="DG73" s="158"/>
      <c r="DH73" s="158"/>
      <c r="DI73" s="158"/>
    </row>
    <row r="74" spans="1:113" x14ac:dyDescent="0.2">
      <c r="A74" s="363"/>
      <c r="B74" s="241" t="s">
        <v>259</v>
      </c>
      <c r="C74" s="169">
        <v>37.9</v>
      </c>
      <c r="D74" s="176">
        <v>7.0000000000000001E-3</v>
      </c>
      <c r="E74" s="222">
        <v>2.4E-2</v>
      </c>
      <c r="F74" s="223">
        <v>3.6999999999999998E-2</v>
      </c>
      <c r="G74" s="217">
        <v>4.8000000000000001E-2</v>
      </c>
      <c r="H74" s="224">
        <v>5.3999999999999999E-2</v>
      </c>
      <c r="I74" s="225">
        <v>5.2999999999999999E-2</v>
      </c>
      <c r="J74" s="158"/>
      <c r="K74" s="158"/>
      <c r="L74" s="158"/>
      <c r="M74" s="158"/>
      <c r="N74" s="158"/>
      <c r="O74" s="158"/>
      <c r="P74" s="158"/>
      <c r="R74" s="241" t="s">
        <v>259</v>
      </c>
      <c r="S74" s="169">
        <v>37.9</v>
      </c>
      <c r="T74" s="176">
        <v>7.0000000000000001E-3</v>
      </c>
      <c r="U74" s="222">
        <v>2.4E-2</v>
      </c>
      <c r="V74" s="223">
        <v>3.6999999999999998E-2</v>
      </c>
      <c r="W74" s="217">
        <v>4.8000000000000001E-2</v>
      </c>
      <c r="X74" s="224">
        <v>5.3999999999999999E-2</v>
      </c>
      <c r="Y74" s="225">
        <v>5.2999999999999999E-2</v>
      </c>
      <c r="Z74" s="158"/>
      <c r="AA74" s="158"/>
      <c r="AB74" s="158"/>
      <c r="AC74" s="158"/>
      <c r="AD74" s="158"/>
      <c r="AE74" s="158"/>
      <c r="AF74" s="158"/>
      <c r="AH74" s="241" t="s">
        <v>259</v>
      </c>
      <c r="AI74" s="169">
        <v>37.9</v>
      </c>
      <c r="AJ74" s="176">
        <v>7.0000000000000001E-3</v>
      </c>
      <c r="AK74" s="222">
        <v>2.4E-2</v>
      </c>
      <c r="AL74" s="223">
        <v>3.6999999999999998E-2</v>
      </c>
      <c r="AM74" s="217">
        <v>4.8000000000000001E-2</v>
      </c>
      <c r="AN74" s="224">
        <v>5.3999999999999999E-2</v>
      </c>
      <c r="AO74" s="225">
        <v>5.2999999999999999E-2</v>
      </c>
      <c r="AP74" s="158"/>
      <c r="AQ74" s="158"/>
      <c r="AR74" s="158"/>
      <c r="AS74" s="158"/>
      <c r="AT74" s="158"/>
      <c r="AU74" s="158"/>
      <c r="AV74" s="158"/>
      <c r="AX74" s="241" t="s">
        <v>259</v>
      </c>
      <c r="AY74" s="169">
        <v>37.9</v>
      </c>
      <c r="AZ74" s="176">
        <v>7.0000000000000001E-3</v>
      </c>
      <c r="BA74" s="222">
        <v>2.4E-2</v>
      </c>
      <c r="BB74" s="223">
        <v>3.6999999999999998E-2</v>
      </c>
      <c r="BC74" s="217">
        <v>4.8000000000000001E-2</v>
      </c>
      <c r="BD74" s="224">
        <v>5.3999999999999999E-2</v>
      </c>
      <c r="BE74" s="225">
        <v>5.2999999999999999E-2</v>
      </c>
      <c r="BF74" s="158"/>
      <c r="BG74" s="158"/>
      <c r="BH74" s="158"/>
      <c r="BI74" s="158"/>
      <c r="BJ74" s="158"/>
      <c r="BK74" s="158"/>
      <c r="BL74" s="158"/>
      <c r="BN74" s="241" t="s">
        <v>259</v>
      </c>
      <c r="BO74" s="169">
        <v>37.9</v>
      </c>
      <c r="BP74" s="176">
        <v>7.0000000000000001E-3</v>
      </c>
      <c r="BQ74" s="222">
        <v>2.4E-2</v>
      </c>
      <c r="BR74" s="223">
        <v>3.6999999999999998E-2</v>
      </c>
      <c r="BS74" s="217">
        <v>4.8000000000000001E-2</v>
      </c>
      <c r="BT74" s="224">
        <v>5.3999999999999999E-2</v>
      </c>
      <c r="BU74" s="225">
        <v>5.2999999999999999E-2</v>
      </c>
      <c r="BV74" s="158"/>
      <c r="BW74" s="158"/>
      <c r="BX74" s="158"/>
      <c r="BY74" s="158"/>
      <c r="BZ74" s="158"/>
      <c r="CA74" s="158"/>
      <c r="CB74" s="158"/>
      <c r="CD74" s="241" t="s">
        <v>259</v>
      </c>
      <c r="CE74" s="169">
        <v>37.9</v>
      </c>
      <c r="CF74" s="169"/>
      <c r="CG74" s="176">
        <v>7.0000000000000001E-3</v>
      </c>
      <c r="CH74" s="222">
        <v>2.4E-2</v>
      </c>
      <c r="CI74" s="223">
        <v>3.6999999999999998E-2</v>
      </c>
      <c r="CJ74" s="217">
        <v>4.8000000000000001E-2</v>
      </c>
      <c r="CK74" s="224">
        <v>5.3999999999999999E-2</v>
      </c>
      <c r="CL74" s="225">
        <v>5.2999999999999999E-2</v>
      </c>
      <c r="CM74" s="158"/>
      <c r="CN74" s="158"/>
      <c r="CO74" s="158"/>
      <c r="CP74" s="158"/>
      <c r="CQ74" s="158"/>
      <c r="CR74" s="158"/>
      <c r="CS74" s="158"/>
      <c r="CU74" s="241" t="s">
        <v>259</v>
      </c>
      <c r="CV74" s="169">
        <v>37.9</v>
      </c>
      <c r="CW74" s="176">
        <v>7.0000000000000001E-3</v>
      </c>
      <c r="CX74" s="222">
        <v>2.4E-2</v>
      </c>
      <c r="CY74" s="223">
        <v>3.6999999999999998E-2</v>
      </c>
      <c r="CZ74" s="217">
        <v>4.8000000000000001E-2</v>
      </c>
      <c r="DA74" s="224">
        <v>5.3999999999999999E-2</v>
      </c>
      <c r="DB74" s="225">
        <v>5.2999999999999999E-2</v>
      </c>
      <c r="DC74" s="158"/>
      <c r="DD74" s="158"/>
      <c r="DE74" s="158"/>
      <c r="DF74" s="158"/>
      <c r="DG74" s="158"/>
      <c r="DH74" s="158"/>
      <c r="DI74" s="158"/>
    </row>
    <row r="75" spans="1:113" x14ac:dyDescent="0.2">
      <c r="A75" s="363"/>
      <c r="B75" s="241" t="s">
        <v>260</v>
      </c>
      <c r="C75" s="169">
        <v>51.8</v>
      </c>
      <c r="D75" s="164">
        <v>8.9999999999999993E-3</v>
      </c>
      <c r="E75" s="226">
        <v>2.5000000000000001E-2</v>
      </c>
      <c r="F75" s="160">
        <v>3.5999999999999997E-2</v>
      </c>
      <c r="G75" s="227">
        <v>4.7E-2</v>
      </c>
      <c r="H75" s="228">
        <v>0.05</v>
      </c>
      <c r="I75" s="158"/>
      <c r="J75" s="158"/>
      <c r="K75" s="158"/>
      <c r="L75" s="158"/>
      <c r="M75" s="158"/>
      <c r="N75" s="158"/>
      <c r="O75" s="158"/>
      <c r="P75" s="158"/>
      <c r="R75" s="241" t="s">
        <v>260</v>
      </c>
      <c r="S75" s="169">
        <v>51.8</v>
      </c>
      <c r="T75" s="164">
        <v>8.9999999999999993E-3</v>
      </c>
      <c r="U75" s="226">
        <v>2.5000000000000001E-2</v>
      </c>
      <c r="V75" s="160">
        <v>3.5999999999999997E-2</v>
      </c>
      <c r="W75" s="227">
        <v>4.7E-2</v>
      </c>
      <c r="X75" s="228">
        <v>0.05</v>
      </c>
      <c r="Y75" s="158"/>
      <c r="Z75" s="158"/>
      <c r="AA75" s="158"/>
      <c r="AB75" s="158"/>
      <c r="AC75" s="158"/>
      <c r="AD75" s="158"/>
      <c r="AE75" s="158"/>
      <c r="AF75" s="158"/>
      <c r="AH75" s="241" t="s">
        <v>260</v>
      </c>
      <c r="AI75" s="169">
        <v>51.8</v>
      </c>
      <c r="AJ75" s="164">
        <v>8.9999999999999993E-3</v>
      </c>
      <c r="AK75" s="226">
        <v>2.5000000000000001E-2</v>
      </c>
      <c r="AL75" s="160">
        <v>3.5999999999999997E-2</v>
      </c>
      <c r="AM75" s="227">
        <v>4.7E-2</v>
      </c>
      <c r="AN75" s="228">
        <v>0.05</v>
      </c>
      <c r="AO75" s="158"/>
      <c r="AP75" s="158"/>
      <c r="AQ75" s="158"/>
      <c r="AR75" s="158"/>
      <c r="AS75" s="158"/>
      <c r="AT75" s="158"/>
      <c r="AU75" s="158"/>
      <c r="AV75" s="158"/>
      <c r="AX75" s="241" t="s">
        <v>260</v>
      </c>
      <c r="AY75" s="169">
        <v>51.8</v>
      </c>
      <c r="AZ75" s="164">
        <v>8.9999999999999993E-3</v>
      </c>
      <c r="BA75" s="226">
        <v>2.5000000000000001E-2</v>
      </c>
      <c r="BB75" s="160">
        <v>3.5999999999999997E-2</v>
      </c>
      <c r="BC75" s="227">
        <v>4.7E-2</v>
      </c>
      <c r="BD75" s="228">
        <v>0.05</v>
      </c>
      <c r="BE75" s="158"/>
      <c r="BF75" s="158"/>
      <c r="BG75" s="158"/>
      <c r="BH75" s="158"/>
      <c r="BI75" s="158"/>
      <c r="BJ75" s="158"/>
      <c r="BK75" s="158"/>
      <c r="BL75" s="158"/>
      <c r="BN75" s="241" t="s">
        <v>260</v>
      </c>
      <c r="BO75" s="169">
        <v>51.8</v>
      </c>
      <c r="BP75" s="164">
        <v>8.9999999999999993E-3</v>
      </c>
      <c r="BQ75" s="226">
        <v>2.5000000000000001E-2</v>
      </c>
      <c r="BR75" s="160">
        <v>3.5999999999999997E-2</v>
      </c>
      <c r="BS75" s="227">
        <v>4.7E-2</v>
      </c>
      <c r="BT75" s="228">
        <v>0.05</v>
      </c>
      <c r="BU75" s="158"/>
      <c r="BV75" s="158"/>
      <c r="BW75" s="158"/>
      <c r="BX75" s="158"/>
      <c r="BY75" s="158"/>
      <c r="BZ75" s="158"/>
      <c r="CA75" s="158"/>
      <c r="CB75" s="158"/>
      <c r="CD75" s="241" t="s">
        <v>260</v>
      </c>
      <c r="CE75" s="169">
        <v>51.8</v>
      </c>
      <c r="CF75" s="169"/>
      <c r="CG75" s="164">
        <v>8.9999999999999993E-3</v>
      </c>
      <c r="CH75" s="226">
        <v>2.5000000000000001E-2</v>
      </c>
      <c r="CI75" s="160">
        <v>3.5999999999999997E-2</v>
      </c>
      <c r="CJ75" s="227">
        <v>4.7E-2</v>
      </c>
      <c r="CK75" s="228">
        <v>0.05</v>
      </c>
      <c r="CL75" s="158"/>
      <c r="CM75" s="158"/>
      <c r="CN75" s="158"/>
      <c r="CO75" s="158"/>
      <c r="CP75" s="158"/>
      <c r="CQ75" s="158"/>
      <c r="CR75" s="158"/>
      <c r="CS75" s="158"/>
      <c r="CU75" s="241" t="s">
        <v>260</v>
      </c>
      <c r="CV75" s="169">
        <v>51.8</v>
      </c>
      <c r="CW75" s="164">
        <v>8.9999999999999993E-3</v>
      </c>
      <c r="CX75" s="226">
        <v>2.5000000000000001E-2</v>
      </c>
      <c r="CY75" s="160">
        <v>3.5999999999999997E-2</v>
      </c>
      <c r="CZ75" s="227">
        <v>4.7E-2</v>
      </c>
      <c r="DA75" s="228">
        <v>0.05</v>
      </c>
      <c r="DB75" s="158"/>
      <c r="DC75" s="158"/>
      <c r="DD75" s="158"/>
      <c r="DE75" s="158"/>
      <c r="DF75" s="158"/>
      <c r="DG75" s="158"/>
      <c r="DH75" s="158"/>
      <c r="DI75" s="158"/>
    </row>
    <row r="76" spans="1:113" x14ac:dyDescent="0.2">
      <c r="A76" s="363"/>
      <c r="B76" s="241" t="s">
        <v>261</v>
      </c>
      <c r="C76" s="169">
        <v>51.8</v>
      </c>
      <c r="D76" s="229">
        <v>7.0000000000000001E-3</v>
      </c>
      <c r="E76" s="230">
        <v>2.4E-2</v>
      </c>
      <c r="F76" s="201">
        <v>3.7999999999999999E-2</v>
      </c>
      <c r="G76" s="231">
        <v>4.4999999999999998E-2</v>
      </c>
      <c r="H76" s="158"/>
      <c r="I76" s="158"/>
      <c r="J76" s="158"/>
      <c r="K76" s="158"/>
      <c r="L76" s="158"/>
      <c r="M76" s="158"/>
      <c r="N76" s="158"/>
      <c r="O76" s="158"/>
      <c r="P76" s="158"/>
      <c r="R76" s="241" t="s">
        <v>261</v>
      </c>
      <c r="S76" s="169">
        <v>51.8</v>
      </c>
      <c r="T76" s="229">
        <v>7.0000000000000001E-3</v>
      </c>
      <c r="U76" s="230">
        <v>2.4E-2</v>
      </c>
      <c r="V76" s="201">
        <v>3.7999999999999999E-2</v>
      </c>
      <c r="W76" s="231">
        <v>4.4999999999999998E-2</v>
      </c>
      <c r="X76" s="158"/>
      <c r="Y76" s="158"/>
      <c r="Z76" s="158"/>
      <c r="AA76" s="158"/>
      <c r="AB76" s="158"/>
      <c r="AC76" s="158"/>
      <c r="AD76" s="158"/>
      <c r="AE76" s="158"/>
      <c r="AF76" s="158"/>
      <c r="AH76" s="241" t="s">
        <v>261</v>
      </c>
      <c r="AI76" s="169">
        <v>51.8</v>
      </c>
      <c r="AJ76" s="229">
        <v>7.0000000000000001E-3</v>
      </c>
      <c r="AK76" s="230">
        <v>2.4E-2</v>
      </c>
      <c r="AL76" s="201">
        <v>3.7999999999999999E-2</v>
      </c>
      <c r="AM76" s="231">
        <v>4.4999999999999998E-2</v>
      </c>
      <c r="AN76" s="158"/>
      <c r="AO76" s="158"/>
      <c r="AP76" s="158"/>
      <c r="AQ76" s="158"/>
      <c r="AR76" s="158"/>
      <c r="AS76" s="158"/>
      <c r="AT76" s="158"/>
      <c r="AU76" s="158"/>
      <c r="AV76" s="158"/>
      <c r="AX76" s="241" t="s">
        <v>261</v>
      </c>
      <c r="AY76" s="169">
        <v>51.8</v>
      </c>
      <c r="AZ76" s="229">
        <v>7.0000000000000001E-3</v>
      </c>
      <c r="BA76" s="230">
        <v>2.4E-2</v>
      </c>
      <c r="BB76" s="201">
        <v>3.7999999999999999E-2</v>
      </c>
      <c r="BC76" s="231">
        <v>4.4999999999999998E-2</v>
      </c>
      <c r="BD76" s="158"/>
      <c r="BE76" s="158"/>
      <c r="BF76" s="158"/>
      <c r="BG76" s="158"/>
      <c r="BH76" s="158"/>
      <c r="BI76" s="158"/>
      <c r="BJ76" s="158"/>
      <c r="BK76" s="158"/>
      <c r="BL76" s="158"/>
      <c r="BN76" s="241" t="s">
        <v>261</v>
      </c>
      <c r="BO76" s="169">
        <v>51.8</v>
      </c>
      <c r="BP76" s="229">
        <v>7.0000000000000001E-3</v>
      </c>
      <c r="BQ76" s="230">
        <v>2.4E-2</v>
      </c>
      <c r="BR76" s="201">
        <v>3.7999999999999999E-2</v>
      </c>
      <c r="BS76" s="231">
        <v>4.4999999999999998E-2</v>
      </c>
      <c r="BT76" s="158"/>
      <c r="BU76" s="158"/>
      <c r="BV76" s="158"/>
      <c r="BW76" s="158"/>
      <c r="BX76" s="158"/>
      <c r="BY76" s="158"/>
      <c r="BZ76" s="158"/>
      <c r="CA76" s="158"/>
      <c r="CB76" s="158"/>
      <c r="CD76" s="241" t="s">
        <v>261</v>
      </c>
      <c r="CE76" s="169">
        <v>51.8</v>
      </c>
      <c r="CF76" s="169"/>
      <c r="CG76" s="229">
        <v>7.0000000000000001E-3</v>
      </c>
      <c r="CH76" s="230">
        <v>2.4E-2</v>
      </c>
      <c r="CI76" s="201">
        <v>3.7999999999999999E-2</v>
      </c>
      <c r="CJ76" s="231">
        <v>4.4999999999999998E-2</v>
      </c>
      <c r="CK76" s="158"/>
      <c r="CL76" s="158"/>
      <c r="CM76" s="158"/>
      <c r="CN76" s="158"/>
      <c r="CO76" s="158"/>
      <c r="CP76" s="158"/>
      <c r="CQ76" s="158"/>
      <c r="CR76" s="158"/>
      <c r="CS76" s="158"/>
      <c r="CU76" s="241" t="s">
        <v>261</v>
      </c>
      <c r="CV76" s="169">
        <v>51.8</v>
      </c>
      <c r="CW76" s="229">
        <v>7.0000000000000001E-3</v>
      </c>
      <c r="CX76" s="230">
        <v>2.4E-2</v>
      </c>
      <c r="CY76" s="201">
        <v>3.7999999999999999E-2</v>
      </c>
      <c r="CZ76" s="231">
        <v>4.4999999999999998E-2</v>
      </c>
      <c r="DA76" s="158"/>
      <c r="DB76" s="158"/>
      <c r="DC76" s="158"/>
      <c r="DD76" s="158"/>
      <c r="DE76" s="158"/>
      <c r="DF76" s="158"/>
      <c r="DG76" s="158"/>
      <c r="DH76" s="158"/>
      <c r="DI76" s="158"/>
    </row>
    <row r="77" spans="1:113" x14ac:dyDescent="0.2">
      <c r="A77" s="363"/>
      <c r="B77" s="241" t="s">
        <v>262</v>
      </c>
      <c r="C77" s="169">
        <v>51.3</v>
      </c>
      <c r="D77" s="232">
        <v>8.9999999999999993E-3</v>
      </c>
      <c r="E77" s="233">
        <v>2.5999999999999999E-2</v>
      </c>
      <c r="F77" s="234">
        <v>3.7999999999999999E-2</v>
      </c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R77" s="241" t="s">
        <v>262</v>
      </c>
      <c r="S77" s="169">
        <v>51.3</v>
      </c>
      <c r="T77" s="232">
        <v>8.9999999999999993E-3</v>
      </c>
      <c r="U77" s="233">
        <v>2.5999999999999999E-2</v>
      </c>
      <c r="V77" s="234">
        <v>3.7999999999999999E-2</v>
      </c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H77" s="241" t="s">
        <v>262</v>
      </c>
      <c r="AI77" s="169">
        <v>51.3</v>
      </c>
      <c r="AJ77" s="232">
        <v>8.9999999999999993E-3</v>
      </c>
      <c r="AK77" s="233">
        <v>2.5999999999999999E-2</v>
      </c>
      <c r="AL77" s="234">
        <v>3.7999999999999999E-2</v>
      </c>
      <c r="AM77" s="158"/>
      <c r="AN77" s="158"/>
      <c r="AO77" s="158"/>
      <c r="AP77" s="158"/>
      <c r="AQ77" s="158"/>
      <c r="AR77" s="158"/>
      <c r="AS77" s="158"/>
      <c r="AT77" s="158"/>
      <c r="AU77" s="158"/>
      <c r="AV77" s="158"/>
      <c r="AX77" s="241" t="s">
        <v>262</v>
      </c>
      <c r="AY77" s="169">
        <v>51.3</v>
      </c>
      <c r="AZ77" s="232">
        <v>8.9999999999999993E-3</v>
      </c>
      <c r="BA77" s="233">
        <v>2.5999999999999999E-2</v>
      </c>
      <c r="BB77" s="234">
        <v>3.7999999999999999E-2</v>
      </c>
      <c r="BC77" s="158"/>
      <c r="BD77" s="158"/>
      <c r="BE77" s="158"/>
      <c r="BF77" s="158"/>
      <c r="BG77" s="158"/>
      <c r="BH77" s="158"/>
      <c r="BI77" s="158"/>
      <c r="BJ77" s="158"/>
      <c r="BK77" s="158"/>
      <c r="BL77" s="158"/>
      <c r="BN77" s="241" t="s">
        <v>262</v>
      </c>
      <c r="BO77" s="169">
        <v>51.3</v>
      </c>
      <c r="BP77" s="232">
        <v>8.9999999999999993E-3</v>
      </c>
      <c r="BQ77" s="233">
        <v>2.5999999999999999E-2</v>
      </c>
      <c r="BR77" s="234">
        <v>3.7999999999999999E-2</v>
      </c>
      <c r="BS77" s="158"/>
      <c r="BT77" s="158"/>
      <c r="BU77" s="158"/>
      <c r="BV77" s="158"/>
      <c r="BW77" s="158"/>
      <c r="BX77" s="158"/>
      <c r="BY77" s="158"/>
      <c r="BZ77" s="158"/>
      <c r="CA77" s="158"/>
      <c r="CB77" s="158"/>
      <c r="CD77" s="241" t="s">
        <v>262</v>
      </c>
      <c r="CE77" s="169">
        <v>51.3</v>
      </c>
      <c r="CF77" s="169"/>
      <c r="CG77" s="232">
        <v>8.9999999999999993E-3</v>
      </c>
      <c r="CH77" s="233">
        <v>2.5999999999999999E-2</v>
      </c>
      <c r="CI77" s="234">
        <v>3.7999999999999999E-2</v>
      </c>
      <c r="CJ77" s="158"/>
      <c r="CK77" s="158"/>
      <c r="CL77" s="158"/>
      <c r="CM77" s="158"/>
      <c r="CN77" s="158"/>
      <c r="CO77" s="158"/>
      <c r="CP77" s="158"/>
      <c r="CQ77" s="158"/>
      <c r="CR77" s="158"/>
      <c r="CS77" s="158"/>
      <c r="CU77" s="241" t="s">
        <v>262</v>
      </c>
      <c r="CV77" s="169">
        <v>51.3</v>
      </c>
      <c r="CW77" s="232">
        <v>8.9999999999999993E-3</v>
      </c>
      <c r="CX77" s="233">
        <v>2.5999999999999999E-2</v>
      </c>
      <c r="CY77" s="234">
        <v>3.7999999999999999E-2</v>
      </c>
      <c r="CZ77" s="158"/>
      <c r="DA77" s="158"/>
      <c r="DB77" s="158"/>
      <c r="DC77" s="158"/>
      <c r="DD77" s="158"/>
      <c r="DE77" s="158"/>
      <c r="DF77" s="158"/>
      <c r="DG77" s="158"/>
      <c r="DH77" s="158"/>
      <c r="DI77" s="158"/>
    </row>
    <row r="78" spans="1:113" x14ac:dyDescent="0.2">
      <c r="A78" s="363"/>
      <c r="B78" s="241" t="s">
        <v>263</v>
      </c>
      <c r="C78" s="169">
        <v>57.6</v>
      </c>
      <c r="D78" s="235">
        <v>8.9999999999999993E-3</v>
      </c>
      <c r="E78" s="236">
        <v>2.5000000000000001E-2</v>
      </c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R78" s="241" t="s">
        <v>263</v>
      </c>
      <c r="S78" s="169">
        <v>57.6</v>
      </c>
      <c r="T78" s="235">
        <v>8.9999999999999993E-3</v>
      </c>
      <c r="U78" s="236">
        <v>2.5000000000000001E-2</v>
      </c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H78" s="241" t="s">
        <v>263</v>
      </c>
      <c r="AI78" s="169">
        <v>57.6</v>
      </c>
      <c r="AJ78" s="235">
        <v>8.9999999999999993E-3</v>
      </c>
      <c r="AK78" s="236">
        <v>2.5000000000000001E-2</v>
      </c>
      <c r="AL78" s="158"/>
      <c r="AM78" s="158"/>
      <c r="AN78" s="158"/>
      <c r="AO78" s="158"/>
      <c r="AP78" s="158"/>
      <c r="AQ78" s="158"/>
      <c r="AR78" s="158"/>
      <c r="AS78" s="158"/>
      <c r="AT78" s="158"/>
      <c r="AU78" s="158"/>
      <c r="AV78" s="158"/>
      <c r="AX78" s="241" t="s">
        <v>263</v>
      </c>
      <c r="AY78" s="169">
        <v>57.6</v>
      </c>
      <c r="AZ78" s="235">
        <v>8.9999999999999993E-3</v>
      </c>
      <c r="BA78" s="236">
        <v>2.5000000000000001E-2</v>
      </c>
      <c r="BB78" s="158"/>
      <c r="BC78" s="158"/>
      <c r="BD78" s="158"/>
      <c r="BE78" s="158"/>
      <c r="BF78" s="158"/>
      <c r="BG78" s="158"/>
      <c r="BH78" s="158"/>
      <c r="BI78" s="158"/>
      <c r="BJ78" s="158"/>
      <c r="BK78" s="158"/>
      <c r="BL78" s="158"/>
      <c r="BN78" s="241" t="s">
        <v>263</v>
      </c>
      <c r="BO78" s="169">
        <v>57.6</v>
      </c>
      <c r="BP78" s="235">
        <v>8.9999999999999993E-3</v>
      </c>
      <c r="BQ78" s="236">
        <v>2.5000000000000001E-2</v>
      </c>
      <c r="BR78" s="158"/>
      <c r="BS78" s="158"/>
      <c r="BT78" s="158"/>
      <c r="BU78" s="158"/>
      <c r="BV78" s="158"/>
      <c r="BW78" s="158"/>
      <c r="BX78" s="158"/>
      <c r="BY78" s="158"/>
      <c r="BZ78" s="158"/>
      <c r="CA78" s="158"/>
      <c r="CB78" s="158"/>
      <c r="CD78" s="241" t="s">
        <v>263</v>
      </c>
      <c r="CE78" s="169">
        <v>57.6</v>
      </c>
      <c r="CF78" s="169"/>
      <c r="CG78" s="235">
        <v>8.9999999999999993E-3</v>
      </c>
      <c r="CH78" s="236">
        <v>2.5000000000000001E-2</v>
      </c>
      <c r="CI78" s="158"/>
      <c r="CJ78" s="158"/>
      <c r="CK78" s="158"/>
      <c r="CL78" s="158"/>
      <c r="CM78" s="158"/>
      <c r="CN78" s="158"/>
      <c r="CO78" s="158"/>
      <c r="CP78" s="158"/>
      <c r="CQ78" s="158"/>
      <c r="CR78" s="158"/>
      <c r="CS78" s="158"/>
      <c r="CU78" s="241" t="s">
        <v>263</v>
      </c>
      <c r="CV78" s="169">
        <v>57.6</v>
      </c>
      <c r="CW78" s="235">
        <v>8.9999999999999993E-3</v>
      </c>
      <c r="CX78" s="236">
        <v>2.5000000000000001E-2</v>
      </c>
      <c r="CY78" s="158"/>
      <c r="CZ78" s="158"/>
      <c r="DA78" s="158"/>
      <c r="DB78" s="158"/>
      <c r="DC78" s="158"/>
      <c r="DD78" s="158"/>
      <c r="DE78" s="158"/>
      <c r="DF78" s="158"/>
      <c r="DG78" s="158"/>
      <c r="DH78" s="158"/>
      <c r="DI78" s="158"/>
    </row>
    <row r="79" spans="1:113" ht="16" thickBot="1" x14ac:dyDescent="0.25">
      <c r="A79" s="364"/>
      <c r="B79" s="242" t="s">
        <v>271</v>
      </c>
      <c r="C79" s="237">
        <v>53.5</v>
      </c>
      <c r="D79" s="238">
        <v>7.0000000000000001E-3</v>
      </c>
      <c r="E79" s="239"/>
      <c r="F79" s="239"/>
      <c r="G79" s="239"/>
      <c r="H79" s="239"/>
      <c r="I79" s="239"/>
      <c r="J79" s="239"/>
      <c r="K79" s="239"/>
      <c r="L79" s="239"/>
      <c r="M79" s="239"/>
      <c r="N79" s="239"/>
      <c r="O79" s="239"/>
      <c r="P79" s="239"/>
      <c r="R79" s="242" t="s">
        <v>271</v>
      </c>
      <c r="S79" s="237">
        <v>53.5</v>
      </c>
      <c r="T79" s="238">
        <v>7.0000000000000001E-3</v>
      </c>
      <c r="U79" s="239"/>
      <c r="V79" s="239"/>
      <c r="W79" s="239"/>
      <c r="X79" s="239"/>
      <c r="Y79" s="239"/>
      <c r="Z79" s="239"/>
      <c r="AA79" s="239"/>
      <c r="AB79" s="239"/>
      <c r="AC79" s="239"/>
      <c r="AD79" s="239"/>
      <c r="AE79" s="239"/>
      <c r="AF79" s="239"/>
      <c r="AH79" s="242" t="s">
        <v>271</v>
      </c>
      <c r="AI79" s="237">
        <v>53.5</v>
      </c>
      <c r="AJ79" s="238">
        <v>7.0000000000000001E-3</v>
      </c>
      <c r="AK79" s="239"/>
      <c r="AL79" s="239"/>
      <c r="AM79" s="239"/>
      <c r="AN79" s="239"/>
      <c r="AO79" s="239"/>
      <c r="AP79" s="239"/>
      <c r="AQ79" s="239"/>
      <c r="AR79" s="239"/>
      <c r="AS79" s="239"/>
      <c r="AT79" s="239"/>
      <c r="AU79" s="239"/>
      <c r="AV79" s="239"/>
      <c r="AX79" s="242" t="s">
        <v>271</v>
      </c>
      <c r="AY79" s="237">
        <v>53.5</v>
      </c>
      <c r="AZ79" s="238">
        <v>7.0000000000000001E-3</v>
      </c>
      <c r="BA79" s="239"/>
      <c r="BB79" s="239"/>
      <c r="BC79" s="239"/>
      <c r="BD79" s="239"/>
      <c r="BE79" s="239"/>
      <c r="BF79" s="239"/>
      <c r="BG79" s="239"/>
      <c r="BH79" s="239"/>
      <c r="BI79" s="239"/>
      <c r="BJ79" s="239"/>
      <c r="BK79" s="239"/>
      <c r="BL79" s="239"/>
      <c r="BN79" s="242" t="s">
        <v>271</v>
      </c>
      <c r="BO79" s="237">
        <v>53.5</v>
      </c>
      <c r="BP79" s="238">
        <v>7.0000000000000001E-3</v>
      </c>
      <c r="BQ79" s="239"/>
      <c r="BR79" s="239"/>
      <c r="BS79" s="239"/>
      <c r="BT79" s="239"/>
      <c r="BU79" s="239"/>
      <c r="BV79" s="239"/>
      <c r="BW79" s="239"/>
      <c r="BX79" s="239"/>
      <c r="BY79" s="239"/>
      <c r="BZ79" s="239"/>
      <c r="CA79" s="239"/>
      <c r="CB79" s="239"/>
      <c r="CD79" s="242" t="s">
        <v>271</v>
      </c>
      <c r="CE79" s="237">
        <v>53.5</v>
      </c>
      <c r="CF79" s="237"/>
      <c r="CG79" s="238">
        <v>7.0000000000000001E-3</v>
      </c>
      <c r="CH79" s="239"/>
      <c r="CI79" s="239"/>
      <c r="CJ79" s="239"/>
      <c r="CK79" s="239"/>
      <c r="CL79" s="239"/>
      <c r="CM79" s="239"/>
      <c r="CN79" s="239"/>
      <c r="CO79" s="239"/>
      <c r="CP79" s="239"/>
      <c r="CQ79" s="239"/>
      <c r="CR79" s="239"/>
      <c r="CS79" s="239"/>
      <c r="CU79" s="242" t="s">
        <v>271</v>
      </c>
      <c r="CV79" s="237">
        <v>53.5</v>
      </c>
      <c r="CW79" s="238">
        <v>7.0000000000000001E-3</v>
      </c>
      <c r="CX79" s="239"/>
      <c r="CY79" s="239"/>
      <c r="CZ79" s="239"/>
      <c r="DA79" s="239"/>
      <c r="DB79" s="239"/>
      <c r="DC79" s="239"/>
      <c r="DD79" s="239"/>
      <c r="DE79" s="239"/>
      <c r="DF79" s="239"/>
      <c r="DG79" s="239"/>
      <c r="DH79" s="239"/>
      <c r="DI79" s="239"/>
    </row>
    <row r="80" spans="1:113" ht="16" thickBot="1" x14ac:dyDescent="0.25"/>
    <row r="81" spans="1:113" x14ac:dyDescent="0.2">
      <c r="A81" s="362" t="s">
        <v>27</v>
      </c>
      <c r="B81" s="361" t="s">
        <v>274</v>
      </c>
      <c r="C81" s="361"/>
      <c r="D81" s="361"/>
      <c r="E81" s="361"/>
      <c r="F81" s="361"/>
      <c r="G81" s="361"/>
      <c r="H81" s="361"/>
      <c r="I81" s="361"/>
      <c r="J81" s="361"/>
      <c r="K81" s="361"/>
      <c r="L81" s="361"/>
      <c r="M81" s="361"/>
      <c r="N81" s="361"/>
      <c r="O81" s="361"/>
      <c r="P81" s="361"/>
      <c r="R81" s="361" t="s">
        <v>275</v>
      </c>
      <c r="S81" s="361"/>
      <c r="T81" s="361"/>
      <c r="U81" s="361"/>
      <c r="V81" s="361"/>
      <c r="W81" s="361"/>
      <c r="X81" s="361"/>
      <c r="Y81" s="361"/>
      <c r="Z81" s="361"/>
      <c r="AA81" s="361"/>
      <c r="AB81" s="361"/>
      <c r="AC81" s="361"/>
      <c r="AD81" s="361"/>
      <c r="AE81" s="361"/>
      <c r="AF81" s="361"/>
      <c r="AH81" s="361" t="s">
        <v>276</v>
      </c>
      <c r="AI81" s="361"/>
      <c r="AJ81" s="361"/>
      <c r="AK81" s="361"/>
      <c r="AL81" s="361"/>
      <c r="AM81" s="361"/>
      <c r="AN81" s="361"/>
      <c r="AO81" s="361"/>
      <c r="AP81" s="361"/>
      <c r="AQ81" s="361"/>
      <c r="AR81" s="361"/>
      <c r="AS81" s="361"/>
      <c r="AT81" s="361"/>
      <c r="AU81" s="361"/>
      <c r="AV81" s="361"/>
      <c r="AX81" s="361" t="s">
        <v>277</v>
      </c>
      <c r="AY81" s="361"/>
      <c r="AZ81" s="361"/>
      <c r="BA81" s="361"/>
      <c r="BB81" s="361"/>
      <c r="BC81" s="361"/>
      <c r="BD81" s="361"/>
      <c r="BE81" s="361"/>
      <c r="BF81" s="361"/>
      <c r="BG81" s="361"/>
      <c r="BH81" s="361"/>
      <c r="BI81" s="361"/>
      <c r="BJ81" s="361"/>
      <c r="BK81" s="361"/>
      <c r="BL81" s="361"/>
      <c r="BN81" s="361" t="s">
        <v>278</v>
      </c>
      <c r="BO81" s="361"/>
      <c r="BP81" s="361"/>
      <c r="BQ81" s="361"/>
      <c r="BR81" s="361"/>
      <c r="BS81" s="361"/>
      <c r="BT81" s="361"/>
      <c r="BU81" s="361"/>
      <c r="BV81" s="361"/>
      <c r="BW81" s="361"/>
      <c r="BX81" s="361"/>
      <c r="BY81" s="361"/>
      <c r="BZ81" s="361"/>
      <c r="CA81" s="361"/>
      <c r="CB81" s="361"/>
      <c r="CD81" s="361" t="s">
        <v>279</v>
      </c>
      <c r="CE81" s="361"/>
      <c r="CF81" s="361"/>
      <c r="CG81" s="361"/>
      <c r="CH81" s="361"/>
      <c r="CI81" s="361"/>
      <c r="CJ81" s="361"/>
      <c r="CK81" s="361"/>
      <c r="CL81" s="361"/>
      <c r="CM81" s="361"/>
      <c r="CN81" s="361"/>
      <c r="CO81" s="361"/>
      <c r="CP81" s="361"/>
      <c r="CQ81" s="361"/>
      <c r="CR81" s="361"/>
      <c r="CS81" s="361"/>
      <c r="CU81" s="361" t="s">
        <v>280</v>
      </c>
      <c r="CV81" s="361"/>
      <c r="CW81" s="361"/>
      <c r="CX81" s="361"/>
      <c r="CY81" s="361"/>
      <c r="CZ81" s="361"/>
      <c r="DA81" s="361"/>
      <c r="DB81" s="361"/>
      <c r="DC81" s="361"/>
      <c r="DD81" s="361"/>
      <c r="DE81" s="361"/>
      <c r="DF81" s="361"/>
      <c r="DG81" s="361"/>
      <c r="DH81" s="361"/>
      <c r="DI81" s="361"/>
    </row>
    <row r="82" spans="1:113" x14ac:dyDescent="0.2">
      <c r="A82" s="363"/>
      <c r="B82" s="240" t="s">
        <v>126</v>
      </c>
      <c r="C82" s="157" t="s">
        <v>281</v>
      </c>
      <c r="D82" s="157">
        <v>1</v>
      </c>
      <c r="E82" s="157">
        <v>2</v>
      </c>
      <c r="F82" s="157">
        <v>3</v>
      </c>
      <c r="G82" s="157">
        <v>4</v>
      </c>
      <c r="H82" s="157">
        <v>5</v>
      </c>
      <c r="I82" s="157">
        <v>6</v>
      </c>
      <c r="J82" s="157">
        <v>7</v>
      </c>
      <c r="K82" s="157">
        <v>8</v>
      </c>
      <c r="L82" s="157">
        <v>9</v>
      </c>
      <c r="M82" s="157">
        <v>10</v>
      </c>
      <c r="N82" s="157">
        <v>11</v>
      </c>
      <c r="O82" s="157">
        <v>12</v>
      </c>
      <c r="P82" s="157">
        <v>13</v>
      </c>
      <c r="R82" s="240" t="s">
        <v>126</v>
      </c>
      <c r="S82" s="157" t="s">
        <v>281</v>
      </c>
      <c r="T82" s="157">
        <v>2</v>
      </c>
      <c r="U82" s="157">
        <v>3</v>
      </c>
      <c r="V82" s="157">
        <v>4</v>
      </c>
      <c r="W82" s="157">
        <v>5</v>
      </c>
      <c r="X82" s="157">
        <v>6</v>
      </c>
      <c r="Y82" s="157">
        <v>7</v>
      </c>
      <c r="Z82" s="157">
        <v>8</v>
      </c>
      <c r="AA82" s="157">
        <v>9</v>
      </c>
      <c r="AB82" s="157">
        <v>10</v>
      </c>
      <c r="AC82" s="157">
        <v>11</v>
      </c>
      <c r="AD82" s="157">
        <v>12</v>
      </c>
      <c r="AE82" s="157">
        <v>13</v>
      </c>
      <c r="AF82" s="157">
        <v>14</v>
      </c>
      <c r="AH82" s="240" t="s">
        <v>126</v>
      </c>
      <c r="AI82" s="157" t="s">
        <v>281</v>
      </c>
      <c r="AJ82" s="157">
        <v>3</v>
      </c>
      <c r="AK82" s="157">
        <v>4</v>
      </c>
      <c r="AL82" s="157">
        <v>5</v>
      </c>
      <c r="AM82" s="157">
        <v>6</v>
      </c>
      <c r="AN82" s="157">
        <v>7</v>
      </c>
      <c r="AO82" s="157">
        <v>8</v>
      </c>
      <c r="AP82" s="157">
        <v>9</v>
      </c>
      <c r="AQ82" s="157">
        <v>10</v>
      </c>
      <c r="AR82" s="157">
        <v>11</v>
      </c>
      <c r="AS82" s="157">
        <v>12</v>
      </c>
      <c r="AT82" s="157">
        <v>13</v>
      </c>
      <c r="AU82" s="157">
        <v>14</v>
      </c>
      <c r="AV82" s="157">
        <v>15</v>
      </c>
      <c r="AX82" s="240" t="s">
        <v>126</v>
      </c>
      <c r="AY82" s="157" t="s">
        <v>281</v>
      </c>
      <c r="AZ82" s="157">
        <v>4</v>
      </c>
      <c r="BA82" s="157">
        <v>5</v>
      </c>
      <c r="BB82" s="157">
        <v>6</v>
      </c>
      <c r="BC82" s="157">
        <v>7</v>
      </c>
      <c r="BD82" s="157">
        <v>8</v>
      </c>
      <c r="BE82" s="157">
        <v>9</v>
      </c>
      <c r="BF82" s="157">
        <v>10</v>
      </c>
      <c r="BG82" s="157">
        <v>11</v>
      </c>
      <c r="BH82" s="157">
        <v>12</v>
      </c>
      <c r="BI82" s="157">
        <v>13</v>
      </c>
      <c r="BJ82" s="157">
        <v>14</v>
      </c>
      <c r="BK82" s="157">
        <v>15</v>
      </c>
      <c r="BL82" s="157">
        <v>16</v>
      </c>
      <c r="BN82" s="240" t="s">
        <v>126</v>
      </c>
      <c r="BO82" s="157" t="s">
        <v>281</v>
      </c>
      <c r="BP82" s="157">
        <v>4</v>
      </c>
      <c r="BQ82" s="157">
        <v>5</v>
      </c>
      <c r="BR82" s="157">
        <v>6</v>
      </c>
      <c r="BS82" s="157">
        <v>7</v>
      </c>
      <c r="BT82" s="157">
        <v>8</v>
      </c>
      <c r="BU82" s="157">
        <v>9</v>
      </c>
      <c r="BV82" s="157">
        <v>10</v>
      </c>
      <c r="BW82" s="157">
        <v>11</v>
      </c>
      <c r="BX82" s="157">
        <v>12</v>
      </c>
      <c r="BY82" s="157">
        <v>13</v>
      </c>
      <c r="BZ82" s="157">
        <v>14</v>
      </c>
      <c r="CA82" s="157">
        <v>15</v>
      </c>
      <c r="CB82" s="157">
        <v>16</v>
      </c>
      <c r="CD82" s="240" t="s">
        <v>126</v>
      </c>
      <c r="CE82" s="157" t="s">
        <v>281</v>
      </c>
      <c r="CF82" s="157" t="s">
        <v>282</v>
      </c>
      <c r="CG82" s="157">
        <v>1</v>
      </c>
      <c r="CH82" s="157">
        <v>2</v>
      </c>
      <c r="CI82" s="157">
        <v>3</v>
      </c>
      <c r="CJ82" s="157">
        <v>4</v>
      </c>
      <c r="CK82" s="157">
        <v>5</v>
      </c>
      <c r="CL82" s="157">
        <v>6</v>
      </c>
      <c r="CM82" s="157">
        <v>7</v>
      </c>
      <c r="CN82" s="157">
        <v>8</v>
      </c>
      <c r="CO82" s="157">
        <v>9</v>
      </c>
      <c r="CP82" s="157">
        <v>10</v>
      </c>
      <c r="CQ82" s="157">
        <v>11</v>
      </c>
      <c r="CR82" s="157">
        <v>12</v>
      </c>
      <c r="CS82" s="157">
        <v>13</v>
      </c>
      <c r="CU82" s="240" t="s">
        <v>126</v>
      </c>
      <c r="CV82" s="157" t="s">
        <v>281</v>
      </c>
      <c r="CW82" s="157">
        <v>1</v>
      </c>
      <c r="CX82" s="157">
        <v>2</v>
      </c>
      <c r="CY82" s="157">
        <v>3</v>
      </c>
      <c r="CZ82" s="157">
        <v>4</v>
      </c>
      <c r="DA82" s="157">
        <v>5</v>
      </c>
      <c r="DB82" s="157">
        <v>6</v>
      </c>
      <c r="DC82" s="157">
        <v>7</v>
      </c>
      <c r="DD82" s="157">
        <v>8</v>
      </c>
      <c r="DE82" s="157">
        <v>9</v>
      </c>
      <c r="DF82" s="157">
        <v>10</v>
      </c>
      <c r="DG82" s="157">
        <v>11</v>
      </c>
      <c r="DH82" s="157">
        <v>12</v>
      </c>
      <c r="DI82" s="157">
        <v>13</v>
      </c>
    </row>
    <row r="83" spans="1:113" x14ac:dyDescent="0.2">
      <c r="A83" s="363"/>
      <c r="B83" s="241" t="s">
        <v>283</v>
      </c>
      <c r="C83" s="158">
        <v>22.2</v>
      </c>
      <c r="D83" s="187">
        <v>7.0000000000000001E-3</v>
      </c>
      <c r="E83" s="168">
        <v>1.7999999999999999E-2</v>
      </c>
      <c r="F83" s="191">
        <v>2.5999999999999999E-2</v>
      </c>
      <c r="G83" s="192">
        <v>3.4000000000000002E-2</v>
      </c>
      <c r="H83" s="185">
        <v>3.7999999999999999E-2</v>
      </c>
      <c r="I83" s="184">
        <v>3.9E-2</v>
      </c>
      <c r="J83" s="193">
        <v>3.5999999999999997E-2</v>
      </c>
      <c r="K83" s="167">
        <v>3.3000000000000002E-2</v>
      </c>
      <c r="L83" s="194">
        <v>3.2000000000000001E-2</v>
      </c>
      <c r="M83" s="195">
        <v>3.1E-2</v>
      </c>
      <c r="N83" s="162">
        <v>0.03</v>
      </c>
      <c r="O83" s="175">
        <v>0.03</v>
      </c>
      <c r="P83" s="196">
        <v>2.9000000000000001E-2</v>
      </c>
      <c r="R83" s="241" t="s">
        <v>283</v>
      </c>
      <c r="S83" s="158">
        <v>22.2</v>
      </c>
      <c r="T83" s="187">
        <v>7.0000000000000001E-3</v>
      </c>
      <c r="U83" s="168">
        <v>1.7999999999999999E-2</v>
      </c>
      <c r="V83" s="191">
        <v>2.5999999999999999E-2</v>
      </c>
      <c r="W83" s="192">
        <v>3.4000000000000002E-2</v>
      </c>
      <c r="X83" s="185">
        <v>3.7999999999999999E-2</v>
      </c>
      <c r="Y83" s="184">
        <v>3.9E-2</v>
      </c>
      <c r="Z83" s="193">
        <v>3.5999999999999997E-2</v>
      </c>
      <c r="AA83" s="167">
        <v>3.3000000000000002E-2</v>
      </c>
      <c r="AB83" s="194">
        <v>3.2000000000000001E-2</v>
      </c>
      <c r="AC83" s="195">
        <v>3.1E-2</v>
      </c>
      <c r="AD83" s="162">
        <v>0.03</v>
      </c>
      <c r="AE83" s="175">
        <v>0.03</v>
      </c>
      <c r="AF83" s="196">
        <v>2.9000000000000001E-2</v>
      </c>
      <c r="AH83" s="241" t="s">
        <v>283</v>
      </c>
      <c r="AI83" s="158">
        <v>22.2</v>
      </c>
      <c r="AJ83" s="187">
        <v>7.0000000000000001E-3</v>
      </c>
      <c r="AK83" s="168">
        <v>1.7999999999999999E-2</v>
      </c>
      <c r="AL83" s="191">
        <v>2.5999999999999999E-2</v>
      </c>
      <c r="AM83" s="192">
        <v>3.4000000000000002E-2</v>
      </c>
      <c r="AN83" s="185">
        <v>3.7999999999999999E-2</v>
      </c>
      <c r="AO83" s="184">
        <v>3.9E-2</v>
      </c>
      <c r="AP83" s="193">
        <v>3.5999999999999997E-2</v>
      </c>
      <c r="AQ83" s="167">
        <v>3.3000000000000002E-2</v>
      </c>
      <c r="AR83" s="194">
        <v>3.2000000000000001E-2</v>
      </c>
      <c r="AS83" s="195">
        <v>3.1E-2</v>
      </c>
      <c r="AT83" s="162">
        <v>0.03</v>
      </c>
      <c r="AU83" s="175">
        <v>0.03</v>
      </c>
      <c r="AV83" s="196">
        <v>2.9000000000000001E-2</v>
      </c>
      <c r="AX83" s="241" t="s">
        <v>283</v>
      </c>
      <c r="AY83" s="158">
        <v>22.2</v>
      </c>
      <c r="AZ83" s="187">
        <v>7.0000000000000001E-3</v>
      </c>
      <c r="BA83" s="168">
        <v>1.7999999999999999E-2</v>
      </c>
      <c r="BB83" s="191">
        <v>2.5999999999999999E-2</v>
      </c>
      <c r="BC83" s="192">
        <v>3.4000000000000002E-2</v>
      </c>
      <c r="BD83" s="185">
        <v>3.7999999999999999E-2</v>
      </c>
      <c r="BE83" s="184">
        <v>3.9E-2</v>
      </c>
      <c r="BF83" s="193">
        <v>3.5999999999999997E-2</v>
      </c>
      <c r="BG83" s="167">
        <v>3.3000000000000002E-2</v>
      </c>
      <c r="BH83" s="194">
        <v>3.2000000000000001E-2</v>
      </c>
      <c r="BI83" s="195">
        <v>3.1E-2</v>
      </c>
      <c r="BJ83" s="162">
        <v>0.03</v>
      </c>
      <c r="BK83" s="175">
        <v>0.03</v>
      </c>
      <c r="BL83" s="196">
        <v>2.9000000000000001E-2</v>
      </c>
      <c r="BN83" s="241" t="s">
        <v>283</v>
      </c>
      <c r="BO83" s="158">
        <v>22.2</v>
      </c>
      <c r="BP83" s="187">
        <v>7.0000000000000001E-3</v>
      </c>
      <c r="BQ83" s="168">
        <v>1.7999999999999999E-2</v>
      </c>
      <c r="BR83" s="191">
        <v>2.5999999999999999E-2</v>
      </c>
      <c r="BS83" s="192">
        <v>3.4000000000000002E-2</v>
      </c>
      <c r="BT83" s="185">
        <v>3.7999999999999999E-2</v>
      </c>
      <c r="BU83" s="184">
        <v>3.9E-2</v>
      </c>
      <c r="BV83" s="193">
        <v>3.5999999999999997E-2</v>
      </c>
      <c r="BW83" s="167">
        <v>3.3000000000000002E-2</v>
      </c>
      <c r="BX83" s="194">
        <v>3.2000000000000001E-2</v>
      </c>
      <c r="BY83" s="195">
        <v>3.1E-2</v>
      </c>
      <c r="BZ83" s="162">
        <v>0.03</v>
      </c>
      <c r="CA83" s="175">
        <v>0.03</v>
      </c>
      <c r="CB83" s="196">
        <v>2.9000000000000001E-2</v>
      </c>
      <c r="CD83" s="241" t="s">
        <v>283</v>
      </c>
      <c r="CE83" s="158">
        <v>22.2</v>
      </c>
      <c r="CF83" s="158"/>
      <c r="CG83" s="187">
        <v>7.0000000000000001E-3</v>
      </c>
      <c r="CH83" s="168">
        <v>1.7999999999999999E-2</v>
      </c>
      <c r="CI83" s="191">
        <v>2.5999999999999999E-2</v>
      </c>
      <c r="CJ83" s="192">
        <v>3.4000000000000002E-2</v>
      </c>
      <c r="CK83" s="185">
        <v>3.7999999999999999E-2</v>
      </c>
      <c r="CL83" s="184">
        <v>3.9E-2</v>
      </c>
      <c r="CM83" s="193">
        <v>3.5999999999999997E-2</v>
      </c>
      <c r="CN83" s="167">
        <v>3.3000000000000002E-2</v>
      </c>
      <c r="CO83" s="194">
        <v>3.2000000000000001E-2</v>
      </c>
      <c r="CP83" s="195">
        <v>3.1E-2</v>
      </c>
      <c r="CQ83" s="162">
        <v>0.03</v>
      </c>
      <c r="CR83" s="175">
        <v>0.03</v>
      </c>
      <c r="CS83" s="196">
        <v>2.9000000000000001E-2</v>
      </c>
      <c r="CU83" s="241" t="s">
        <v>283</v>
      </c>
      <c r="CV83" s="158">
        <v>22.2</v>
      </c>
      <c r="CW83" s="187">
        <v>7.0000000000000001E-3</v>
      </c>
      <c r="CX83" s="168">
        <v>1.7999999999999999E-2</v>
      </c>
      <c r="CY83" s="191">
        <v>2.5999999999999999E-2</v>
      </c>
      <c r="CZ83" s="192">
        <v>3.4000000000000002E-2</v>
      </c>
      <c r="DA83" s="185">
        <v>3.7999999999999999E-2</v>
      </c>
      <c r="DB83" s="184">
        <v>3.9E-2</v>
      </c>
      <c r="DC83" s="193">
        <v>3.5999999999999997E-2</v>
      </c>
      <c r="DD83" s="167">
        <v>3.3000000000000002E-2</v>
      </c>
      <c r="DE83" s="194">
        <v>3.2000000000000001E-2</v>
      </c>
      <c r="DF83" s="195">
        <v>3.1E-2</v>
      </c>
      <c r="DG83" s="162">
        <v>0.03</v>
      </c>
      <c r="DH83" s="175">
        <v>0.03</v>
      </c>
      <c r="DI83" s="196">
        <v>2.9000000000000001E-2</v>
      </c>
    </row>
    <row r="84" spans="1:113" x14ac:dyDescent="0.2">
      <c r="A84" s="363"/>
      <c r="B84" s="241" t="s">
        <v>284</v>
      </c>
      <c r="C84" s="158">
        <v>21.8</v>
      </c>
      <c r="D84" s="197">
        <v>6.0000000000000001E-3</v>
      </c>
      <c r="E84" s="198">
        <v>0.02</v>
      </c>
      <c r="F84" s="199">
        <v>2.9000000000000001E-2</v>
      </c>
      <c r="G84" s="200">
        <v>3.4000000000000002E-2</v>
      </c>
      <c r="H84" s="201">
        <v>3.7999999999999999E-2</v>
      </c>
      <c r="I84" s="202">
        <v>3.7999999999999999E-2</v>
      </c>
      <c r="J84" s="166">
        <v>3.5000000000000003E-2</v>
      </c>
      <c r="K84" s="186">
        <v>3.3000000000000002E-2</v>
      </c>
      <c r="L84" s="159">
        <v>3.1E-2</v>
      </c>
      <c r="M84" s="203">
        <v>3.1E-2</v>
      </c>
      <c r="N84" s="204">
        <v>0.03</v>
      </c>
      <c r="O84" s="205">
        <v>2.9000000000000001E-2</v>
      </c>
      <c r="P84" s="158"/>
      <c r="R84" s="241" t="s">
        <v>284</v>
      </c>
      <c r="S84" s="158">
        <v>21.8</v>
      </c>
      <c r="T84" s="197">
        <v>6.0000000000000001E-3</v>
      </c>
      <c r="U84" s="198">
        <v>0.02</v>
      </c>
      <c r="V84" s="199">
        <v>2.9000000000000001E-2</v>
      </c>
      <c r="W84" s="200">
        <v>3.4000000000000002E-2</v>
      </c>
      <c r="X84" s="201">
        <v>3.7999999999999999E-2</v>
      </c>
      <c r="Y84" s="202">
        <v>3.7999999999999999E-2</v>
      </c>
      <c r="Z84" s="166">
        <v>3.5000000000000003E-2</v>
      </c>
      <c r="AA84" s="186">
        <v>3.3000000000000002E-2</v>
      </c>
      <c r="AB84" s="159">
        <v>3.1E-2</v>
      </c>
      <c r="AC84" s="203">
        <v>3.1E-2</v>
      </c>
      <c r="AD84" s="204">
        <v>0.03</v>
      </c>
      <c r="AE84" s="205">
        <v>2.9000000000000001E-2</v>
      </c>
      <c r="AF84" s="158"/>
      <c r="AH84" s="241" t="s">
        <v>284</v>
      </c>
      <c r="AI84" s="158">
        <v>21.8</v>
      </c>
      <c r="AJ84" s="197">
        <v>6.0000000000000001E-3</v>
      </c>
      <c r="AK84" s="198">
        <v>0.02</v>
      </c>
      <c r="AL84" s="199">
        <v>2.9000000000000001E-2</v>
      </c>
      <c r="AM84" s="200">
        <v>3.4000000000000002E-2</v>
      </c>
      <c r="AN84" s="201">
        <v>3.7999999999999999E-2</v>
      </c>
      <c r="AO84" s="202">
        <v>3.7999999999999999E-2</v>
      </c>
      <c r="AP84" s="166">
        <v>3.5000000000000003E-2</v>
      </c>
      <c r="AQ84" s="186">
        <v>3.3000000000000002E-2</v>
      </c>
      <c r="AR84" s="159">
        <v>3.1E-2</v>
      </c>
      <c r="AS84" s="203">
        <v>3.1E-2</v>
      </c>
      <c r="AT84" s="204">
        <v>0.03</v>
      </c>
      <c r="AU84" s="205">
        <v>2.9000000000000001E-2</v>
      </c>
      <c r="AV84" s="158"/>
      <c r="AX84" s="241" t="s">
        <v>284</v>
      </c>
      <c r="AY84" s="158">
        <v>21.8</v>
      </c>
      <c r="AZ84" s="197">
        <v>6.0000000000000001E-3</v>
      </c>
      <c r="BA84" s="198">
        <v>0.02</v>
      </c>
      <c r="BB84" s="199">
        <v>2.9000000000000001E-2</v>
      </c>
      <c r="BC84" s="200">
        <v>3.4000000000000002E-2</v>
      </c>
      <c r="BD84" s="201">
        <v>3.7999999999999999E-2</v>
      </c>
      <c r="BE84" s="202">
        <v>3.7999999999999999E-2</v>
      </c>
      <c r="BF84" s="166">
        <v>3.5000000000000003E-2</v>
      </c>
      <c r="BG84" s="186">
        <v>3.3000000000000002E-2</v>
      </c>
      <c r="BH84" s="159">
        <v>3.1E-2</v>
      </c>
      <c r="BI84" s="203">
        <v>3.1E-2</v>
      </c>
      <c r="BJ84" s="204">
        <v>0.03</v>
      </c>
      <c r="BK84" s="205">
        <v>2.9000000000000001E-2</v>
      </c>
      <c r="BL84" s="158"/>
      <c r="BN84" s="241" t="s">
        <v>284</v>
      </c>
      <c r="BO84" s="158">
        <v>21.8</v>
      </c>
      <c r="BP84" s="197">
        <v>6.0000000000000001E-3</v>
      </c>
      <c r="BQ84" s="198">
        <v>0.02</v>
      </c>
      <c r="BR84" s="199">
        <v>2.9000000000000001E-2</v>
      </c>
      <c r="BS84" s="200">
        <v>3.4000000000000002E-2</v>
      </c>
      <c r="BT84" s="201">
        <v>3.7999999999999999E-2</v>
      </c>
      <c r="BU84" s="202">
        <v>3.7999999999999999E-2</v>
      </c>
      <c r="BV84" s="166">
        <v>3.5000000000000003E-2</v>
      </c>
      <c r="BW84" s="186">
        <v>3.3000000000000002E-2</v>
      </c>
      <c r="BX84" s="159">
        <v>3.1E-2</v>
      </c>
      <c r="BY84" s="203">
        <v>3.1E-2</v>
      </c>
      <c r="BZ84" s="204">
        <v>0.03</v>
      </c>
      <c r="CA84" s="205">
        <v>2.9000000000000001E-2</v>
      </c>
      <c r="CB84" s="158"/>
      <c r="CD84" s="241" t="s">
        <v>284</v>
      </c>
      <c r="CE84" s="158">
        <v>21.8</v>
      </c>
      <c r="CF84" s="158"/>
      <c r="CG84" s="197">
        <v>6.0000000000000001E-3</v>
      </c>
      <c r="CH84" s="198">
        <v>0.02</v>
      </c>
      <c r="CI84" s="199">
        <v>2.9000000000000001E-2</v>
      </c>
      <c r="CJ84" s="200">
        <v>3.4000000000000002E-2</v>
      </c>
      <c r="CK84" s="201">
        <v>3.7999999999999999E-2</v>
      </c>
      <c r="CL84" s="202">
        <v>3.7999999999999999E-2</v>
      </c>
      <c r="CM84" s="166">
        <v>3.5000000000000003E-2</v>
      </c>
      <c r="CN84" s="186">
        <v>3.3000000000000002E-2</v>
      </c>
      <c r="CO84" s="159">
        <v>3.1E-2</v>
      </c>
      <c r="CP84" s="203">
        <v>3.1E-2</v>
      </c>
      <c r="CQ84" s="204">
        <v>0.03</v>
      </c>
      <c r="CR84" s="205">
        <v>2.9000000000000001E-2</v>
      </c>
      <c r="CS84" s="158"/>
      <c r="CU84" s="241" t="s">
        <v>284</v>
      </c>
      <c r="CV84" s="158">
        <v>21.8</v>
      </c>
      <c r="CW84" s="197">
        <v>6.0000000000000001E-3</v>
      </c>
      <c r="CX84" s="198">
        <v>0.02</v>
      </c>
      <c r="CY84" s="199">
        <v>2.9000000000000001E-2</v>
      </c>
      <c r="CZ84" s="200">
        <v>3.4000000000000002E-2</v>
      </c>
      <c r="DA84" s="201">
        <v>3.7999999999999999E-2</v>
      </c>
      <c r="DB84" s="202">
        <v>3.7999999999999999E-2</v>
      </c>
      <c r="DC84" s="166">
        <v>3.5000000000000003E-2</v>
      </c>
      <c r="DD84" s="186">
        <v>3.3000000000000002E-2</v>
      </c>
      <c r="DE84" s="159">
        <v>3.1E-2</v>
      </c>
      <c r="DF84" s="203">
        <v>3.1E-2</v>
      </c>
      <c r="DG84" s="204">
        <v>0.03</v>
      </c>
      <c r="DH84" s="205">
        <v>2.9000000000000001E-2</v>
      </c>
      <c r="DI84" s="158"/>
    </row>
    <row r="85" spans="1:113" x14ac:dyDescent="0.2">
      <c r="A85" s="363"/>
      <c r="B85" s="241" t="s">
        <v>285</v>
      </c>
      <c r="C85" s="158">
        <v>27</v>
      </c>
      <c r="D85" s="206">
        <v>6.0000000000000001E-3</v>
      </c>
      <c r="E85" s="179">
        <v>2.1000000000000001E-2</v>
      </c>
      <c r="F85" s="163">
        <v>2.9000000000000001E-2</v>
      </c>
      <c r="G85" s="166">
        <v>3.5000000000000003E-2</v>
      </c>
      <c r="H85" s="207">
        <v>4.1000000000000002E-2</v>
      </c>
      <c r="I85" s="181">
        <v>4.2000000000000003E-2</v>
      </c>
      <c r="J85" s="170">
        <v>0.04</v>
      </c>
      <c r="K85" s="208">
        <v>3.6999999999999998E-2</v>
      </c>
      <c r="L85" s="161">
        <v>3.5999999999999997E-2</v>
      </c>
      <c r="M85" s="165">
        <v>3.4000000000000002E-2</v>
      </c>
      <c r="N85" s="167">
        <v>3.3000000000000002E-2</v>
      </c>
      <c r="O85" s="158"/>
      <c r="P85" s="158"/>
      <c r="R85" s="241" t="s">
        <v>285</v>
      </c>
      <c r="S85" s="158">
        <v>27</v>
      </c>
      <c r="T85" s="206">
        <v>6.0000000000000001E-3</v>
      </c>
      <c r="U85" s="179">
        <v>2.1000000000000001E-2</v>
      </c>
      <c r="V85" s="163">
        <v>2.9000000000000001E-2</v>
      </c>
      <c r="W85" s="166">
        <v>3.5000000000000003E-2</v>
      </c>
      <c r="X85" s="207">
        <v>4.1000000000000002E-2</v>
      </c>
      <c r="Y85" s="181">
        <v>4.2000000000000003E-2</v>
      </c>
      <c r="Z85" s="170">
        <v>0.04</v>
      </c>
      <c r="AA85" s="208">
        <v>3.6999999999999998E-2</v>
      </c>
      <c r="AB85" s="161">
        <v>3.5999999999999997E-2</v>
      </c>
      <c r="AC85" s="165">
        <v>3.4000000000000002E-2</v>
      </c>
      <c r="AD85" s="167">
        <v>3.3000000000000002E-2</v>
      </c>
      <c r="AE85" s="158"/>
      <c r="AF85" s="158"/>
      <c r="AH85" s="241" t="s">
        <v>285</v>
      </c>
      <c r="AI85" s="158">
        <v>27</v>
      </c>
      <c r="AJ85" s="206">
        <v>6.0000000000000001E-3</v>
      </c>
      <c r="AK85" s="179">
        <v>2.1000000000000001E-2</v>
      </c>
      <c r="AL85" s="163">
        <v>2.9000000000000001E-2</v>
      </c>
      <c r="AM85" s="166">
        <v>3.5000000000000003E-2</v>
      </c>
      <c r="AN85" s="207">
        <v>4.1000000000000002E-2</v>
      </c>
      <c r="AO85" s="181">
        <v>4.2000000000000003E-2</v>
      </c>
      <c r="AP85" s="170">
        <v>0.04</v>
      </c>
      <c r="AQ85" s="208">
        <v>3.6999999999999998E-2</v>
      </c>
      <c r="AR85" s="161">
        <v>3.5999999999999997E-2</v>
      </c>
      <c r="AS85" s="165">
        <v>3.4000000000000002E-2</v>
      </c>
      <c r="AT85" s="167">
        <v>3.3000000000000002E-2</v>
      </c>
      <c r="AU85" s="158"/>
      <c r="AV85" s="158"/>
      <c r="AX85" s="241" t="s">
        <v>285</v>
      </c>
      <c r="AY85" s="158">
        <v>27</v>
      </c>
      <c r="AZ85" s="206">
        <v>6.0000000000000001E-3</v>
      </c>
      <c r="BA85" s="179">
        <v>2.1000000000000001E-2</v>
      </c>
      <c r="BB85" s="163">
        <v>2.9000000000000001E-2</v>
      </c>
      <c r="BC85" s="166">
        <v>3.5000000000000003E-2</v>
      </c>
      <c r="BD85" s="207">
        <v>4.1000000000000002E-2</v>
      </c>
      <c r="BE85" s="181">
        <v>4.2000000000000003E-2</v>
      </c>
      <c r="BF85" s="170">
        <v>0.04</v>
      </c>
      <c r="BG85" s="208">
        <v>3.6999999999999998E-2</v>
      </c>
      <c r="BH85" s="161">
        <v>3.5999999999999997E-2</v>
      </c>
      <c r="BI85" s="165">
        <v>3.4000000000000002E-2</v>
      </c>
      <c r="BJ85" s="167">
        <v>3.3000000000000002E-2</v>
      </c>
      <c r="BK85" s="158"/>
      <c r="BL85" s="158"/>
      <c r="BN85" s="241" t="s">
        <v>285</v>
      </c>
      <c r="BO85" s="158">
        <v>27</v>
      </c>
      <c r="BP85" s="206">
        <v>6.0000000000000001E-3</v>
      </c>
      <c r="BQ85" s="179">
        <v>2.1000000000000001E-2</v>
      </c>
      <c r="BR85" s="163">
        <v>2.9000000000000001E-2</v>
      </c>
      <c r="BS85" s="166">
        <v>3.5000000000000003E-2</v>
      </c>
      <c r="BT85" s="207">
        <v>4.1000000000000002E-2</v>
      </c>
      <c r="BU85" s="181">
        <v>4.2000000000000003E-2</v>
      </c>
      <c r="BV85" s="170">
        <v>0.04</v>
      </c>
      <c r="BW85" s="208">
        <v>3.6999999999999998E-2</v>
      </c>
      <c r="BX85" s="161">
        <v>3.5999999999999997E-2</v>
      </c>
      <c r="BY85" s="165">
        <v>3.4000000000000002E-2</v>
      </c>
      <c r="BZ85" s="167">
        <v>3.3000000000000002E-2</v>
      </c>
      <c r="CA85" s="158"/>
      <c r="CB85" s="158"/>
      <c r="CD85" s="241" t="s">
        <v>285</v>
      </c>
      <c r="CE85" s="158">
        <v>27</v>
      </c>
      <c r="CF85" s="158"/>
      <c r="CG85" s="206">
        <v>6.0000000000000001E-3</v>
      </c>
      <c r="CH85" s="179">
        <v>2.1000000000000001E-2</v>
      </c>
      <c r="CI85" s="163">
        <v>2.9000000000000001E-2</v>
      </c>
      <c r="CJ85" s="166">
        <v>3.5000000000000003E-2</v>
      </c>
      <c r="CK85" s="207">
        <v>4.1000000000000002E-2</v>
      </c>
      <c r="CL85" s="181">
        <v>4.2000000000000003E-2</v>
      </c>
      <c r="CM85" s="170">
        <v>0.04</v>
      </c>
      <c r="CN85" s="208">
        <v>3.6999999999999998E-2</v>
      </c>
      <c r="CO85" s="161">
        <v>3.5999999999999997E-2</v>
      </c>
      <c r="CP85" s="165">
        <v>3.4000000000000002E-2</v>
      </c>
      <c r="CQ85" s="167">
        <v>3.3000000000000002E-2</v>
      </c>
      <c r="CR85" s="158"/>
      <c r="CS85" s="158"/>
      <c r="CU85" s="241" t="s">
        <v>285</v>
      </c>
      <c r="CV85" s="158">
        <v>27</v>
      </c>
      <c r="CW85" s="206">
        <v>6.0000000000000001E-3</v>
      </c>
      <c r="CX85" s="179">
        <v>2.1000000000000001E-2</v>
      </c>
      <c r="CY85" s="163">
        <v>2.9000000000000001E-2</v>
      </c>
      <c r="CZ85" s="166">
        <v>3.5000000000000003E-2</v>
      </c>
      <c r="DA85" s="207">
        <v>4.1000000000000002E-2</v>
      </c>
      <c r="DB85" s="181">
        <v>4.2000000000000003E-2</v>
      </c>
      <c r="DC85" s="170">
        <v>0.04</v>
      </c>
      <c r="DD85" s="208">
        <v>3.6999999999999998E-2</v>
      </c>
      <c r="DE85" s="161">
        <v>3.5999999999999997E-2</v>
      </c>
      <c r="DF85" s="165">
        <v>3.4000000000000002E-2</v>
      </c>
      <c r="DG85" s="167">
        <v>3.3000000000000002E-2</v>
      </c>
      <c r="DH85" s="158"/>
      <c r="DI85" s="158"/>
    </row>
    <row r="86" spans="1:113" x14ac:dyDescent="0.2">
      <c r="A86" s="363"/>
      <c r="B86" s="241" t="s">
        <v>286</v>
      </c>
      <c r="C86" s="169">
        <v>27.5</v>
      </c>
      <c r="D86" s="177">
        <v>6.0000000000000001E-3</v>
      </c>
      <c r="E86" s="198">
        <v>0.02</v>
      </c>
      <c r="F86" s="209">
        <v>3.2000000000000001E-2</v>
      </c>
      <c r="G86" s="182">
        <v>0.04</v>
      </c>
      <c r="H86" s="172">
        <v>4.2999999999999997E-2</v>
      </c>
      <c r="I86" s="210">
        <v>4.2999999999999997E-2</v>
      </c>
      <c r="J86" s="211">
        <v>4.1000000000000002E-2</v>
      </c>
      <c r="K86" s="201">
        <v>3.7999999999999999E-2</v>
      </c>
      <c r="L86" s="174">
        <v>3.6999999999999998E-2</v>
      </c>
      <c r="M86" s="166">
        <v>3.5000000000000003E-2</v>
      </c>
      <c r="N86" s="158"/>
      <c r="O86" s="158"/>
      <c r="P86" s="158"/>
      <c r="R86" s="241" t="s">
        <v>286</v>
      </c>
      <c r="S86" s="169">
        <v>27.5</v>
      </c>
      <c r="T86" s="177">
        <v>6.0000000000000001E-3</v>
      </c>
      <c r="U86" s="198">
        <v>0.02</v>
      </c>
      <c r="V86" s="209">
        <v>3.2000000000000001E-2</v>
      </c>
      <c r="W86" s="182">
        <v>0.04</v>
      </c>
      <c r="X86" s="172">
        <v>4.2999999999999997E-2</v>
      </c>
      <c r="Y86" s="210">
        <v>4.2999999999999997E-2</v>
      </c>
      <c r="Z86" s="211">
        <v>4.1000000000000002E-2</v>
      </c>
      <c r="AA86" s="201">
        <v>3.7999999999999999E-2</v>
      </c>
      <c r="AB86" s="174">
        <v>3.6999999999999998E-2</v>
      </c>
      <c r="AC86" s="166">
        <v>3.5000000000000003E-2</v>
      </c>
      <c r="AD86" s="158"/>
      <c r="AE86" s="158"/>
      <c r="AF86" s="158"/>
      <c r="AH86" s="241" t="s">
        <v>286</v>
      </c>
      <c r="AI86" s="169">
        <v>27.5</v>
      </c>
      <c r="AJ86" s="177">
        <v>6.0000000000000001E-3</v>
      </c>
      <c r="AK86" s="198">
        <v>0.02</v>
      </c>
      <c r="AL86" s="209">
        <v>3.2000000000000001E-2</v>
      </c>
      <c r="AM86" s="182">
        <v>0.04</v>
      </c>
      <c r="AN86" s="172">
        <v>4.2999999999999997E-2</v>
      </c>
      <c r="AO86" s="210">
        <v>4.2999999999999997E-2</v>
      </c>
      <c r="AP86" s="211">
        <v>4.1000000000000002E-2</v>
      </c>
      <c r="AQ86" s="201">
        <v>3.7999999999999999E-2</v>
      </c>
      <c r="AR86" s="174">
        <v>3.6999999999999998E-2</v>
      </c>
      <c r="AS86" s="166">
        <v>3.5000000000000003E-2</v>
      </c>
      <c r="AT86" s="158"/>
      <c r="AU86" s="158"/>
      <c r="AV86" s="158"/>
      <c r="AX86" s="241" t="s">
        <v>286</v>
      </c>
      <c r="AY86" s="169">
        <v>27.5</v>
      </c>
      <c r="AZ86" s="177">
        <v>6.0000000000000001E-3</v>
      </c>
      <c r="BA86" s="198">
        <v>0.02</v>
      </c>
      <c r="BB86" s="209">
        <v>3.2000000000000001E-2</v>
      </c>
      <c r="BC86" s="182">
        <v>0.04</v>
      </c>
      <c r="BD86" s="172">
        <v>4.2999999999999997E-2</v>
      </c>
      <c r="BE86" s="210">
        <v>4.2999999999999997E-2</v>
      </c>
      <c r="BF86" s="211">
        <v>4.1000000000000002E-2</v>
      </c>
      <c r="BG86" s="201">
        <v>3.7999999999999999E-2</v>
      </c>
      <c r="BH86" s="174">
        <v>3.6999999999999998E-2</v>
      </c>
      <c r="BI86" s="166">
        <v>3.5000000000000003E-2</v>
      </c>
      <c r="BJ86" s="158"/>
      <c r="BK86" s="158"/>
      <c r="BL86" s="158"/>
      <c r="BN86" s="241" t="s">
        <v>286</v>
      </c>
      <c r="BO86" s="169">
        <v>27.5</v>
      </c>
      <c r="BP86" s="177">
        <v>6.0000000000000001E-3</v>
      </c>
      <c r="BQ86" s="198">
        <v>0.02</v>
      </c>
      <c r="BR86" s="209">
        <v>3.2000000000000001E-2</v>
      </c>
      <c r="BS86" s="182">
        <v>0.04</v>
      </c>
      <c r="BT86" s="172">
        <v>4.2999999999999997E-2</v>
      </c>
      <c r="BU86" s="210">
        <v>4.2999999999999997E-2</v>
      </c>
      <c r="BV86" s="211">
        <v>4.1000000000000002E-2</v>
      </c>
      <c r="BW86" s="201">
        <v>3.7999999999999999E-2</v>
      </c>
      <c r="BX86" s="174">
        <v>3.6999999999999998E-2</v>
      </c>
      <c r="BY86" s="166">
        <v>3.5000000000000003E-2</v>
      </c>
      <c r="BZ86" s="158"/>
      <c r="CA86" s="158"/>
      <c r="CB86" s="158"/>
      <c r="CD86" s="241" t="s">
        <v>286</v>
      </c>
      <c r="CE86" s="169">
        <v>27.5</v>
      </c>
      <c r="CF86" s="169"/>
      <c r="CG86" s="177">
        <v>6.0000000000000001E-3</v>
      </c>
      <c r="CH86" s="198">
        <v>0.02</v>
      </c>
      <c r="CI86" s="209">
        <v>3.2000000000000001E-2</v>
      </c>
      <c r="CJ86" s="182">
        <v>0.04</v>
      </c>
      <c r="CK86" s="172">
        <v>4.2999999999999997E-2</v>
      </c>
      <c r="CL86" s="210">
        <v>4.2999999999999997E-2</v>
      </c>
      <c r="CM86" s="211">
        <v>4.1000000000000002E-2</v>
      </c>
      <c r="CN86" s="201">
        <v>3.7999999999999999E-2</v>
      </c>
      <c r="CO86" s="174">
        <v>3.6999999999999998E-2</v>
      </c>
      <c r="CP86" s="166">
        <v>3.5000000000000003E-2</v>
      </c>
      <c r="CQ86" s="158"/>
      <c r="CR86" s="158"/>
      <c r="CS86" s="158"/>
      <c r="CU86" s="241" t="s">
        <v>286</v>
      </c>
      <c r="CV86" s="169">
        <v>27.5</v>
      </c>
      <c r="CW86" s="177">
        <v>6.0000000000000001E-3</v>
      </c>
      <c r="CX86" s="198">
        <v>0.02</v>
      </c>
      <c r="CY86" s="209">
        <v>3.2000000000000001E-2</v>
      </c>
      <c r="CZ86" s="182">
        <v>0.04</v>
      </c>
      <c r="DA86" s="172">
        <v>4.2999999999999997E-2</v>
      </c>
      <c r="DB86" s="210">
        <v>4.2999999999999997E-2</v>
      </c>
      <c r="DC86" s="211">
        <v>4.1000000000000002E-2</v>
      </c>
      <c r="DD86" s="201">
        <v>3.7999999999999999E-2</v>
      </c>
      <c r="DE86" s="174">
        <v>3.6999999999999998E-2</v>
      </c>
      <c r="DF86" s="166">
        <v>3.5000000000000003E-2</v>
      </c>
      <c r="DG86" s="158"/>
      <c r="DH86" s="158"/>
      <c r="DI86" s="158"/>
    </row>
    <row r="87" spans="1:113" x14ac:dyDescent="0.2">
      <c r="A87" s="363"/>
      <c r="B87" s="241" t="s">
        <v>287</v>
      </c>
      <c r="C87" s="169">
        <v>31.8</v>
      </c>
      <c r="D87" s="188">
        <v>7.0000000000000001E-3</v>
      </c>
      <c r="E87" s="212">
        <v>2.3E-2</v>
      </c>
      <c r="F87" s="190">
        <v>3.3000000000000002E-2</v>
      </c>
      <c r="G87" s="184">
        <v>3.9E-2</v>
      </c>
      <c r="H87" s="213">
        <v>4.3999999999999997E-2</v>
      </c>
      <c r="I87" s="210">
        <v>4.2999999999999997E-2</v>
      </c>
      <c r="J87" s="214">
        <v>4.2000000000000003E-2</v>
      </c>
      <c r="K87" s="173">
        <v>3.9E-2</v>
      </c>
      <c r="L87" s="174">
        <v>3.6999999999999998E-2</v>
      </c>
      <c r="M87" s="158"/>
      <c r="N87" s="158"/>
      <c r="O87" s="158"/>
      <c r="P87" s="158"/>
      <c r="R87" s="241" t="s">
        <v>287</v>
      </c>
      <c r="S87" s="169">
        <v>31.8</v>
      </c>
      <c r="T87" s="188">
        <v>7.0000000000000001E-3</v>
      </c>
      <c r="U87" s="212">
        <v>2.3E-2</v>
      </c>
      <c r="V87" s="190">
        <v>3.3000000000000002E-2</v>
      </c>
      <c r="W87" s="184">
        <v>3.9E-2</v>
      </c>
      <c r="X87" s="213">
        <v>4.3999999999999997E-2</v>
      </c>
      <c r="Y87" s="210">
        <v>4.2999999999999997E-2</v>
      </c>
      <c r="Z87" s="214">
        <v>4.2000000000000003E-2</v>
      </c>
      <c r="AA87" s="173">
        <v>3.9E-2</v>
      </c>
      <c r="AB87" s="174">
        <v>3.6999999999999998E-2</v>
      </c>
      <c r="AC87" s="158"/>
      <c r="AD87" s="158"/>
      <c r="AE87" s="158"/>
      <c r="AF87" s="158"/>
      <c r="AH87" s="241" t="s">
        <v>287</v>
      </c>
      <c r="AI87" s="169">
        <v>31.8</v>
      </c>
      <c r="AJ87" s="188">
        <v>7.0000000000000001E-3</v>
      </c>
      <c r="AK87" s="212">
        <v>2.3E-2</v>
      </c>
      <c r="AL87" s="190">
        <v>3.3000000000000002E-2</v>
      </c>
      <c r="AM87" s="184">
        <v>3.9E-2</v>
      </c>
      <c r="AN87" s="213">
        <v>4.3999999999999997E-2</v>
      </c>
      <c r="AO87" s="210">
        <v>4.2999999999999997E-2</v>
      </c>
      <c r="AP87" s="214">
        <v>4.2000000000000003E-2</v>
      </c>
      <c r="AQ87" s="173">
        <v>3.9E-2</v>
      </c>
      <c r="AR87" s="174">
        <v>3.6999999999999998E-2</v>
      </c>
      <c r="AS87" s="158"/>
      <c r="AT87" s="158"/>
      <c r="AU87" s="158"/>
      <c r="AV87" s="158"/>
      <c r="AX87" s="241" t="s">
        <v>287</v>
      </c>
      <c r="AY87" s="169">
        <v>31.8</v>
      </c>
      <c r="AZ87" s="188">
        <v>7.0000000000000001E-3</v>
      </c>
      <c r="BA87" s="212">
        <v>2.3E-2</v>
      </c>
      <c r="BB87" s="190">
        <v>3.3000000000000002E-2</v>
      </c>
      <c r="BC87" s="184">
        <v>3.9E-2</v>
      </c>
      <c r="BD87" s="213">
        <v>4.3999999999999997E-2</v>
      </c>
      <c r="BE87" s="210">
        <v>4.2999999999999997E-2</v>
      </c>
      <c r="BF87" s="214">
        <v>4.2000000000000003E-2</v>
      </c>
      <c r="BG87" s="173">
        <v>3.9E-2</v>
      </c>
      <c r="BH87" s="174">
        <v>3.6999999999999998E-2</v>
      </c>
      <c r="BI87" s="158"/>
      <c r="BJ87" s="158"/>
      <c r="BK87" s="158"/>
      <c r="BL87" s="158"/>
      <c r="BN87" s="241" t="s">
        <v>287</v>
      </c>
      <c r="BO87" s="169">
        <v>31.8</v>
      </c>
      <c r="BP87" s="188">
        <v>7.0000000000000001E-3</v>
      </c>
      <c r="BQ87" s="212">
        <v>2.3E-2</v>
      </c>
      <c r="BR87" s="190">
        <v>3.3000000000000002E-2</v>
      </c>
      <c r="BS87" s="184">
        <v>3.9E-2</v>
      </c>
      <c r="BT87" s="213">
        <v>4.3999999999999997E-2</v>
      </c>
      <c r="BU87" s="210">
        <v>4.2999999999999997E-2</v>
      </c>
      <c r="BV87" s="214">
        <v>4.2000000000000003E-2</v>
      </c>
      <c r="BW87" s="173">
        <v>3.9E-2</v>
      </c>
      <c r="BX87" s="174">
        <v>3.6999999999999998E-2</v>
      </c>
      <c r="BY87" s="158"/>
      <c r="BZ87" s="158"/>
      <c r="CA87" s="158"/>
      <c r="CB87" s="158"/>
      <c r="CD87" s="241" t="s">
        <v>287</v>
      </c>
      <c r="CE87" s="169">
        <v>31.8</v>
      </c>
      <c r="CF87" s="169"/>
      <c r="CG87" s="188">
        <v>7.0000000000000001E-3</v>
      </c>
      <c r="CH87" s="212">
        <v>2.3E-2</v>
      </c>
      <c r="CI87" s="190">
        <v>3.3000000000000002E-2</v>
      </c>
      <c r="CJ87" s="184">
        <v>3.9E-2</v>
      </c>
      <c r="CK87" s="213">
        <v>4.3999999999999997E-2</v>
      </c>
      <c r="CL87" s="210">
        <v>4.2999999999999997E-2</v>
      </c>
      <c r="CM87" s="214">
        <v>4.2000000000000003E-2</v>
      </c>
      <c r="CN87" s="173">
        <v>3.9E-2</v>
      </c>
      <c r="CO87" s="174">
        <v>3.6999999999999998E-2</v>
      </c>
      <c r="CP87" s="158"/>
      <c r="CQ87" s="158"/>
      <c r="CR87" s="158"/>
      <c r="CS87" s="158"/>
      <c r="CU87" s="241" t="s">
        <v>287</v>
      </c>
      <c r="CV87" s="169">
        <v>31.8</v>
      </c>
      <c r="CW87" s="188">
        <v>7.0000000000000001E-3</v>
      </c>
      <c r="CX87" s="212">
        <v>2.3E-2</v>
      </c>
      <c r="CY87" s="190">
        <v>3.3000000000000002E-2</v>
      </c>
      <c r="CZ87" s="184">
        <v>3.9E-2</v>
      </c>
      <c r="DA87" s="213">
        <v>4.3999999999999997E-2</v>
      </c>
      <c r="DB87" s="210">
        <v>4.2999999999999997E-2</v>
      </c>
      <c r="DC87" s="214">
        <v>4.2000000000000003E-2</v>
      </c>
      <c r="DD87" s="173">
        <v>3.9E-2</v>
      </c>
      <c r="DE87" s="174">
        <v>3.6999999999999998E-2</v>
      </c>
      <c r="DF87" s="158"/>
      <c r="DG87" s="158"/>
      <c r="DH87" s="158"/>
      <c r="DI87" s="158"/>
    </row>
    <row r="88" spans="1:113" x14ac:dyDescent="0.2">
      <c r="A88" s="363"/>
      <c r="B88" s="241" t="s">
        <v>288</v>
      </c>
      <c r="C88" s="169">
        <v>32.799999999999997</v>
      </c>
      <c r="D88" s="215">
        <v>8.9999999999999993E-3</v>
      </c>
      <c r="E88" s="216">
        <v>2.7E-2</v>
      </c>
      <c r="F88" s="193">
        <v>3.5999999999999997E-2</v>
      </c>
      <c r="G88" s="213">
        <v>4.3999999999999997E-2</v>
      </c>
      <c r="H88" s="217">
        <v>4.8000000000000001E-2</v>
      </c>
      <c r="I88" s="218">
        <v>4.9000000000000002E-2</v>
      </c>
      <c r="J88" s="171">
        <v>4.7E-2</v>
      </c>
      <c r="K88" s="213">
        <v>4.3999999999999997E-2</v>
      </c>
      <c r="L88" s="158"/>
      <c r="M88" s="158"/>
      <c r="N88" s="158"/>
      <c r="O88" s="158"/>
      <c r="P88" s="158"/>
      <c r="R88" s="241" t="s">
        <v>288</v>
      </c>
      <c r="S88" s="169">
        <v>32.799999999999997</v>
      </c>
      <c r="T88" s="215">
        <v>8.9999999999999993E-3</v>
      </c>
      <c r="U88" s="216">
        <v>2.7E-2</v>
      </c>
      <c r="V88" s="193">
        <v>3.5999999999999997E-2</v>
      </c>
      <c r="W88" s="213">
        <v>4.3999999999999997E-2</v>
      </c>
      <c r="X88" s="217">
        <v>4.8000000000000001E-2</v>
      </c>
      <c r="Y88" s="218">
        <v>4.9000000000000002E-2</v>
      </c>
      <c r="Z88" s="171">
        <v>4.7E-2</v>
      </c>
      <c r="AA88" s="213">
        <v>4.3999999999999997E-2</v>
      </c>
      <c r="AB88" s="158"/>
      <c r="AC88" s="158"/>
      <c r="AD88" s="158"/>
      <c r="AE88" s="158"/>
      <c r="AF88" s="158"/>
      <c r="AH88" s="241" t="s">
        <v>288</v>
      </c>
      <c r="AI88" s="169">
        <v>32.799999999999997</v>
      </c>
      <c r="AJ88" s="215">
        <v>8.9999999999999993E-3</v>
      </c>
      <c r="AK88" s="216">
        <v>2.7E-2</v>
      </c>
      <c r="AL88" s="193">
        <v>3.5999999999999997E-2</v>
      </c>
      <c r="AM88" s="213">
        <v>4.3999999999999997E-2</v>
      </c>
      <c r="AN88" s="217">
        <v>4.8000000000000001E-2</v>
      </c>
      <c r="AO88" s="218">
        <v>4.9000000000000002E-2</v>
      </c>
      <c r="AP88" s="171">
        <v>4.7E-2</v>
      </c>
      <c r="AQ88" s="213">
        <v>4.3999999999999997E-2</v>
      </c>
      <c r="AR88" s="158"/>
      <c r="AS88" s="158"/>
      <c r="AT88" s="158"/>
      <c r="AU88" s="158"/>
      <c r="AV88" s="158"/>
      <c r="AX88" s="241" t="s">
        <v>288</v>
      </c>
      <c r="AY88" s="169">
        <v>32.799999999999997</v>
      </c>
      <c r="AZ88" s="215">
        <v>8.9999999999999993E-3</v>
      </c>
      <c r="BA88" s="216">
        <v>2.7E-2</v>
      </c>
      <c r="BB88" s="193">
        <v>3.5999999999999997E-2</v>
      </c>
      <c r="BC88" s="213">
        <v>4.3999999999999997E-2</v>
      </c>
      <c r="BD88" s="217">
        <v>4.8000000000000001E-2</v>
      </c>
      <c r="BE88" s="218">
        <v>4.9000000000000002E-2</v>
      </c>
      <c r="BF88" s="171">
        <v>4.7E-2</v>
      </c>
      <c r="BG88" s="213">
        <v>4.3999999999999997E-2</v>
      </c>
      <c r="BH88" s="158"/>
      <c r="BI88" s="158"/>
      <c r="BJ88" s="158"/>
      <c r="BK88" s="158"/>
      <c r="BL88" s="158"/>
      <c r="BN88" s="241" t="s">
        <v>288</v>
      </c>
      <c r="BO88" s="169">
        <v>32.799999999999997</v>
      </c>
      <c r="BP88" s="215">
        <v>8.9999999999999993E-3</v>
      </c>
      <c r="BQ88" s="216">
        <v>2.7E-2</v>
      </c>
      <c r="BR88" s="193">
        <v>3.5999999999999997E-2</v>
      </c>
      <c r="BS88" s="213">
        <v>4.3999999999999997E-2</v>
      </c>
      <c r="BT88" s="217">
        <v>4.8000000000000001E-2</v>
      </c>
      <c r="BU88" s="218">
        <v>4.9000000000000002E-2</v>
      </c>
      <c r="BV88" s="171">
        <v>4.7E-2</v>
      </c>
      <c r="BW88" s="213">
        <v>4.3999999999999997E-2</v>
      </c>
      <c r="BX88" s="158"/>
      <c r="BY88" s="158"/>
      <c r="BZ88" s="158"/>
      <c r="CA88" s="158"/>
      <c r="CB88" s="158"/>
      <c r="CD88" s="241" t="s">
        <v>288</v>
      </c>
      <c r="CE88" s="169">
        <v>32.799999999999997</v>
      </c>
      <c r="CF88" s="169"/>
      <c r="CG88" s="215">
        <v>8.9999999999999993E-3</v>
      </c>
      <c r="CH88" s="216">
        <v>2.7E-2</v>
      </c>
      <c r="CI88" s="193">
        <v>3.5999999999999997E-2</v>
      </c>
      <c r="CJ88" s="213">
        <v>4.3999999999999997E-2</v>
      </c>
      <c r="CK88" s="217">
        <v>4.8000000000000001E-2</v>
      </c>
      <c r="CL88" s="218">
        <v>4.9000000000000002E-2</v>
      </c>
      <c r="CM88" s="171">
        <v>4.7E-2</v>
      </c>
      <c r="CN88" s="213">
        <v>4.3999999999999997E-2</v>
      </c>
      <c r="CO88" s="158"/>
      <c r="CP88" s="158"/>
      <c r="CQ88" s="158"/>
      <c r="CR88" s="158"/>
      <c r="CS88" s="158"/>
      <c r="CU88" s="241" t="s">
        <v>288</v>
      </c>
      <c r="CV88" s="169">
        <v>32.799999999999997</v>
      </c>
      <c r="CW88" s="215">
        <v>8.9999999999999993E-3</v>
      </c>
      <c r="CX88" s="216">
        <v>2.7E-2</v>
      </c>
      <c r="CY88" s="193">
        <v>3.5999999999999997E-2</v>
      </c>
      <c r="CZ88" s="213">
        <v>4.3999999999999997E-2</v>
      </c>
      <c r="DA88" s="217">
        <v>4.8000000000000001E-2</v>
      </c>
      <c r="DB88" s="218">
        <v>4.9000000000000002E-2</v>
      </c>
      <c r="DC88" s="171">
        <v>4.7E-2</v>
      </c>
      <c r="DD88" s="213">
        <v>4.3999999999999997E-2</v>
      </c>
      <c r="DE88" s="158"/>
      <c r="DF88" s="158"/>
      <c r="DG88" s="158"/>
      <c r="DH88" s="158"/>
      <c r="DI88" s="158"/>
    </row>
    <row r="89" spans="1:113" x14ac:dyDescent="0.2">
      <c r="A89" s="363"/>
      <c r="B89" s="241" t="s">
        <v>289</v>
      </c>
      <c r="C89" s="169">
        <v>32.6</v>
      </c>
      <c r="D89" s="183">
        <v>8.0000000000000002E-3</v>
      </c>
      <c r="E89" s="178">
        <v>2.4E-2</v>
      </c>
      <c r="F89" s="189">
        <v>3.5000000000000003E-2</v>
      </c>
      <c r="G89" s="180">
        <v>4.2999999999999997E-2</v>
      </c>
      <c r="H89" s="219">
        <v>4.7E-2</v>
      </c>
      <c r="I89" s="220">
        <v>4.8000000000000001E-2</v>
      </c>
      <c r="J89" s="221">
        <v>4.5999999999999999E-2</v>
      </c>
      <c r="K89" s="158"/>
      <c r="L89" s="158"/>
      <c r="M89" s="158"/>
      <c r="N89" s="158"/>
      <c r="O89" s="158"/>
      <c r="P89" s="158"/>
      <c r="R89" s="241" t="s">
        <v>289</v>
      </c>
      <c r="S89" s="169">
        <v>32.6</v>
      </c>
      <c r="T89" s="183">
        <v>8.0000000000000002E-3</v>
      </c>
      <c r="U89" s="178">
        <v>2.4E-2</v>
      </c>
      <c r="V89" s="189">
        <v>3.5000000000000003E-2</v>
      </c>
      <c r="W89" s="180">
        <v>4.2999999999999997E-2</v>
      </c>
      <c r="X89" s="219">
        <v>4.7E-2</v>
      </c>
      <c r="Y89" s="220">
        <v>4.8000000000000001E-2</v>
      </c>
      <c r="Z89" s="221">
        <v>4.5999999999999999E-2</v>
      </c>
      <c r="AA89" s="158"/>
      <c r="AB89" s="158"/>
      <c r="AC89" s="158"/>
      <c r="AD89" s="158"/>
      <c r="AE89" s="158"/>
      <c r="AF89" s="158"/>
      <c r="AH89" s="241" t="s">
        <v>289</v>
      </c>
      <c r="AI89" s="169">
        <v>32.6</v>
      </c>
      <c r="AJ89" s="183">
        <v>8.0000000000000002E-3</v>
      </c>
      <c r="AK89" s="178">
        <v>2.4E-2</v>
      </c>
      <c r="AL89" s="189">
        <v>3.5000000000000003E-2</v>
      </c>
      <c r="AM89" s="180">
        <v>4.2999999999999997E-2</v>
      </c>
      <c r="AN89" s="219">
        <v>4.7E-2</v>
      </c>
      <c r="AO89" s="220">
        <v>4.8000000000000001E-2</v>
      </c>
      <c r="AP89" s="221">
        <v>4.5999999999999999E-2</v>
      </c>
      <c r="AQ89" s="158"/>
      <c r="AR89" s="158"/>
      <c r="AS89" s="158"/>
      <c r="AT89" s="158"/>
      <c r="AU89" s="158"/>
      <c r="AV89" s="158"/>
      <c r="AX89" s="241" t="s">
        <v>289</v>
      </c>
      <c r="AY89" s="169">
        <v>32.6</v>
      </c>
      <c r="AZ89" s="183">
        <v>8.0000000000000002E-3</v>
      </c>
      <c r="BA89" s="178">
        <v>2.4E-2</v>
      </c>
      <c r="BB89" s="189">
        <v>3.5000000000000003E-2</v>
      </c>
      <c r="BC89" s="180">
        <v>4.2999999999999997E-2</v>
      </c>
      <c r="BD89" s="219">
        <v>4.7E-2</v>
      </c>
      <c r="BE89" s="220">
        <v>4.8000000000000001E-2</v>
      </c>
      <c r="BF89" s="221">
        <v>4.5999999999999999E-2</v>
      </c>
      <c r="BG89" s="158"/>
      <c r="BH89" s="158"/>
      <c r="BI89" s="158"/>
      <c r="BJ89" s="158"/>
      <c r="BK89" s="158"/>
      <c r="BL89" s="158"/>
      <c r="BN89" s="241" t="s">
        <v>289</v>
      </c>
      <c r="BO89" s="169">
        <v>32.6</v>
      </c>
      <c r="BP89" s="183">
        <v>8.0000000000000002E-3</v>
      </c>
      <c r="BQ89" s="178">
        <v>2.4E-2</v>
      </c>
      <c r="BR89" s="189">
        <v>3.5000000000000003E-2</v>
      </c>
      <c r="BS89" s="180">
        <v>4.2999999999999997E-2</v>
      </c>
      <c r="BT89" s="219">
        <v>4.7E-2</v>
      </c>
      <c r="BU89" s="220">
        <v>4.8000000000000001E-2</v>
      </c>
      <c r="BV89" s="221">
        <v>4.5999999999999999E-2</v>
      </c>
      <c r="BW89" s="158"/>
      <c r="BX89" s="158"/>
      <c r="BY89" s="158"/>
      <c r="BZ89" s="158"/>
      <c r="CA89" s="158"/>
      <c r="CB89" s="158"/>
      <c r="CD89" s="241" t="s">
        <v>289</v>
      </c>
      <c r="CE89" s="169">
        <v>32.6</v>
      </c>
      <c r="CF89" s="169"/>
      <c r="CG89" s="183">
        <v>8.0000000000000002E-3</v>
      </c>
      <c r="CH89" s="178">
        <v>2.4E-2</v>
      </c>
      <c r="CI89" s="189">
        <v>3.5000000000000003E-2</v>
      </c>
      <c r="CJ89" s="180">
        <v>4.2999999999999997E-2</v>
      </c>
      <c r="CK89" s="219">
        <v>4.7E-2</v>
      </c>
      <c r="CL89" s="220">
        <v>4.8000000000000001E-2</v>
      </c>
      <c r="CM89" s="221">
        <v>4.5999999999999999E-2</v>
      </c>
      <c r="CN89" s="158"/>
      <c r="CO89" s="158"/>
      <c r="CP89" s="158"/>
      <c r="CQ89" s="158"/>
      <c r="CR89" s="158"/>
      <c r="CS89" s="158"/>
      <c r="CU89" s="241" t="s">
        <v>289</v>
      </c>
      <c r="CV89" s="169">
        <v>32.6</v>
      </c>
      <c r="CW89" s="183">
        <v>8.0000000000000002E-3</v>
      </c>
      <c r="CX89" s="178">
        <v>2.4E-2</v>
      </c>
      <c r="CY89" s="189">
        <v>3.5000000000000003E-2</v>
      </c>
      <c r="CZ89" s="180">
        <v>4.2999999999999997E-2</v>
      </c>
      <c r="DA89" s="219">
        <v>4.7E-2</v>
      </c>
      <c r="DB89" s="220">
        <v>4.8000000000000001E-2</v>
      </c>
      <c r="DC89" s="221">
        <v>4.5999999999999999E-2</v>
      </c>
      <c r="DD89" s="158"/>
      <c r="DE89" s="158"/>
      <c r="DF89" s="158"/>
      <c r="DG89" s="158"/>
      <c r="DH89" s="158"/>
      <c r="DI89" s="158"/>
    </row>
    <row r="90" spans="1:113" x14ac:dyDescent="0.2">
      <c r="A90" s="363"/>
      <c r="B90" s="241" t="s">
        <v>259</v>
      </c>
      <c r="C90" s="169">
        <v>37.9</v>
      </c>
      <c r="D90" s="176">
        <v>7.0000000000000001E-3</v>
      </c>
      <c r="E90" s="222">
        <v>2.4E-2</v>
      </c>
      <c r="F90" s="223">
        <v>3.6999999999999998E-2</v>
      </c>
      <c r="G90" s="217">
        <v>4.8000000000000001E-2</v>
      </c>
      <c r="H90" s="224">
        <v>5.3999999999999999E-2</v>
      </c>
      <c r="I90" s="225">
        <v>5.2999999999999999E-2</v>
      </c>
      <c r="J90" s="158"/>
      <c r="K90" s="158"/>
      <c r="L90" s="158"/>
      <c r="M90" s="158"/>
      <c r="N90" s="158"/>
      <c r="O90" s="158"/>
      <c r="P90" s="158"/>
      <c r="R90" s="241" t="s">
        <v>259</v>
      </c>
      <c r="S90" s="169">
        <v>37.9</v>
      </c>
      <c r="T90" s="176">
        <v>7.0000000000000001E-3</v>
      </c>
      <c r="U90" s="222">
        <v>2.4E-2</v>
      </c>
      <c r="V90" s="223">
        <v>3.6999999999999998E-2</v>
      </c>
      <c r="W90" s="217">
        <v>4.8000000000000001E-2</v>
      </c>
      <c r="X90" s="224">
        <v>5.3999999999999999E-2</v>
      </c>
      <c r="Y90" s="225">
        <v>5.2999999999999999E-2</v>
      </c>
      <c r="Z90" s="158"/>
      <c r="AA90" s="158"/>
      <c r="AB90" s="158"/>
      <c r="AC90" s="158"/>
      <c r="AD90" s="158"/>
      <c r="AE90" s="158"/>
      <c r="AF90" s="158"/>
      <c r="AH90" s="241" t="s">
        <v>259</v>
      </c>
      <c r="AI90" s="169">
        <v>37.9</v>
      </c>
      <c r="AJ90" s="176">
        <v>7.0000000000000001E-3</v>
      </c>
      <c r="AK90" s="222">
        <v>2.4E-2</v>
      </c>
      <c r="AL90" s="223">
        <v>3.6999999999999998E-2</v>
      </c>
      <c r="AM90" s="217">
        <v>4.8000000000000001E-2</v>
      </c>
      <c r="AN90" s="224">
        <v>5.3999999999999999E-2</v>
      </c>
      <c r="AO90" s="225">
        <v>5.2999999999999999E-2</v>
      </c>
      <c r="AP90" s="158"/>
      <c r="AQ90" s="158"/>
      <c r="AR90" s="158"/>
      <c r="AS90" s="158"/>
      <c r="AT90" s="158"/>
      <c r="AU90" s="158"/>
      <c r="AV90" s="158"/>
      <c r="AX90" s="241" t="s">
        <v>259</v>
      </c>
      <c r="AY90" s="169">
        <v>37.9</v>
      </c>
      <c r="AZ90" s="176">
        <v>7.0000000000000001E-3</v>
      </c>
      <c r="BA90" s="222">
        <v>2.4E-2</v>
      </c>
      <c r="BB90" s="223">
        <v>3.6999999999999998E-2</v>
      </c>
      <c r="BC90" s="217">
        <v>4.8000000000000001E-2</v>
      </c>
      <c r="BD90" s="224">
        <v>5.3999999999999999E-2</v>
      </c>
      <c r="BE90" s="225">
        <v>5.2999999999999999E-2</v>
      </c>
      <c r="BF90" s="158"/>
      <c r="BG90" s="158"/>
      <c r="BH90" s="158"/>
      <c r="BI90" s="158"/>
      <c r="BJ90" s="158"/>
      <c r="BK90" s="158"/>
      <c r="BL90" s="158"/>
      <c r="BN90" s="241" t="s">
        <v>259</v>
      </c>
      <c r="BO90" s="169">
        <v>37.9</v>
      </c>
      <c r="BP90" s="176">
        <v>7.0000000000000001E-3</v>
      </c>
      <c r="BQ90" s="222">
        <v>2.4E-2</v>
      </c>
      <c r="BR90" s="223">
        <v>3.6999999999999998E-2</v>
      </c>
      <c r="BS90" s="217">
        <v>4.8000000000000001E-2</v>
      </c>
      <c r="BT90" s="224">
        <v>5.3999999999999999E-2</v>
      </c>
      <c r="BU90" s="225">
        <v>5.2999999999999999E-2</v>
      </c>
      <c r="BV90" s="158"/>
      <c r="BW90" s="158"/>
      <c r="BX90" s="158"/>
      <c r="BY90" s="158"/>
      <c r="BZ90" s="158"/>
      <c r="CA90" s="158"/>
      <c r="CB90" s="158"/>
      <c r="CD90" s="241" t="s">
        <v>259</v>
      </c>
      <c r="CE90" s="169">
        <v>37.9</v>
      </c>
      <c r="CF90" s="169"/>
      <c r="CG90" s="176">
        <v>7.0000000000000001E-3</v>
      </c>
      <c r="CH90" s="222">
        <v>2.4E-2</v>
      </c>
      <c r="CI90" s="223">
        <v>3.6999999999999998E-2</v>
      </c>
      <c r="CJ90" s="217">
        <v>4.8000000000000001E-2</v>
      </c>
      <c r="CK90" s="224">
        <v>5.3999999999999999E-2</v>
      </c>
      <c r="CL90" s="225">
        <v>5.2999999999999999E-2</v>
      </c>
      <c r="CM90" s="158"/>
      <c r="CN90" s="158"/>
      <c r="CO90" s="158"/>
      <c r="CP90" s="158"/>
      <c r="CQ90" s="158"/>
      <c r="CR90" s="158"/>
      <c r="CS90" s="158"/>
      <c r="CU90" s="241" t="s">
        <v>259</v>
      </c>
      <c r="CV90" s="169">
        <v>37.9</v>
      </c>
      <c r="CW90" s="176">
        <v>7.0000000000000001E-3</v>
      </c>
      <c r="CX90" s="222">
        <v>2.4E-2</v>
      </c>
      <c r="CY90" s="223">
        <v>3.6999999999999998E-2</v>
      </c>
      <c r="CZ90" s="217">
        <v>4.8000000000000001E-2</v>
      </c>
      <c r="DA90" s="224">
        <v>5.3999999999999999E-2</v>
      </c>
      <c r="DB90" s="225">
        <v>5.2999999999999999E-2</v>
      </c>
      <c r="DC90" s="158"/>
      <c r="DD90" s="158"/>
      <c r="DE90" s="158"/>
      <c r="DF90" s="158"/>
      <c r="DG90" s="158"/>
      <c r="DH90" s="158"/>
      <c r="DI90" s="158"/>
    </row>
    <row r="91" spans="1:113" x14ac:dyDescent="0.2">
      <c r="A91" s="363"/>
      <c r="B91" s="241" t="s">
        <v>260</v>
      </c>
      <c r="C91" s="169">
        <v>51.8</v>
      </c>
      <c r="D91" s="164">
        <v>8.9999999999999993E-3</v>
      </c>
      <c r="E91" s="226">
        <v>2.5000000000000001E-2</v>
      </c>
      <c r="F91" s="160">
        <v>3.5999999999999997E-2</v>
      </c>
      <c r="G91" s="227">
        <v>4.7E-2</v>
      </c>
      <c r="H91" s="228">
        <v>0.05</v>
      </c>
      <c r="I91" s="158"/>
      <c r="J91" s="158"/>
      <c r="K91" s="158"/>
      <c r="L91" s="158"/>
      <c r="M91" s="158"/>
      <c r="N91" s="158"/>
      <c r="O91" s="158"/>
      <c r="P91" s="158"/>
      <c r="R91" s="241" t="s">
        <v>260</v>
      </c>
      <c r="S91" s="169">
        <v>51.8</v>
      </c>
      <c r="T91" s="164">
        <v>8.9999999999999993E-3</v>
      </c>
      <c r="U91" s="226">
        <v>2.5000000000000001E-2</v>
      </c>
      <c r="V91" s="160">
        <v>3.5999999999999997E-2</v>
      </c>
      <c r="W91" s="227">
        <v>4.7E-2</v>
      </c>
      <c r="X91" s="228">
        <v>0.05</v>
      </c>
      <c r="Y91" s="158"/>
      <c r="Z91" s="158"/>
      <c r="AA91" s="158"/>
      <c r="AB91" s="158"/>
      <c r="AC91" s="158"/>
      <c r="AD91" s="158"/>
      <c r="AE91" s="158"/>
      <c r="AF91" s="158"/>
      <c r="AH91" s="241" t="s">
        <v>260</v>
      </c>
      <c r="AI91" s="169">
        <v>51.8</v>
      </c>
      <c r="AJ91" s="164">
        <v>8.9999999999999993E-3</v>
      </c>
      <c r="AK91" s="226">
        <v>2.5000000000000001E-2</v>
      </c>
      <c r="AL91" s="160">
        <v>3.5999999999999997E-2</v>
      </c>
      <c r="AM91" s="227">
        <v>4.7E-2</v>
      </c>
      <c r="AN91" s="228">
        <v>0.05</v>
      </c>
      <c r="AO91" s="158"/>
      <c r="AP91" s="158"/>
      <c r="AQ91" s="158"/>
      <c r="AR91" s="158"/>
      <c r="AS91" s="158"/>
      <c r="AT91" s="158"/>
      <c r="AU91" s="158"/>
      <c r="AV91" s="158"/>
      <c r="AX91" s="241" t="s">
        <v>260</v>
      </c>
      <c r="AY91" s="169">
        <v>51.8</v>
      </c>
      <c r="AZ91" s="164">
        <v>8.9999999999999993E-3</v>
      </c>
      <c r="BA91" s="226">
        <v>2.5000000000000001E-2</v>
      </c>
      <c r="BB91" s="160">
        <v>3.5999999999999997E-2</v>
      </c>
      <c r="BC91" s="227">
        <v>4.7E-2</v>
      </c>
      <c r="BD91" s="228">
        <v>0.05</v>
      </c>
      <c r="BE91" s="158"/>
      <c r="BF91" s="158"/>
      <c r="BG91" s="158"/>
      <c r="BH91" s="158"/>
      <c r="BI91" s="158"/>
      <c r="BJ91" s="158"/>
      <c r="BK91" s="158"/>
      <c r="BL91" s="158"/>
      <c r="BN91" s="241" t="s">
        <v>260</v>
      </c>
      <c r="BO91" s="169">
        <v>51.8</v>
      </c>
      <c r="BP91" s="164">
        <v>8.9999999999999993E-3</v>
      </c>
      <c r="BQ91" s="226">
        <v>2.5000000000000001E-2</v>
      </c>
      <c r="BR91" s="160">
        <v>3.5999999999999997E-2</v>
      </c>
      <c r="BS91" s="227">
        <v>4.7E-2</v>
      </c>
      <c r="BT91" s="228">
        <v>0.05</v>
      </c>
      <c r="BU91" s="158"/>
      <c r="BV91" s="158"/>
      <c r="BW91" s="158"/>
      <c r="BX91" s="158"/>
      <c r="BY91" s="158"/>
      <c r="BZ91" s="158"/>
      <c r="CA91" s="158"/>
      <c r="CB91" s="158"/>
      <c r="CD91" s="241" t="s">
        <v>260</v>
      </c>
      <c r="CE91" s="169">
        <v>51.8</v>
      </c>
      <c r="CF91" s="169"/>
      <c r="CG91" s="164">
        <v>8.9999999999999993E-3</v>
      </c>
      <c r="CH91" s="226">
        <v>2.5000000000000001E-2</v>
      </c>
      <c r="CI91" s="160">
        <v>3.5999999999999997E-2</v>
      </c>
      <c r="CJ91" s="227">
        <v>4.7E-2</v>
      </c>
      <c r="CK91" s="228">
        <v>0.05</v>
      </c>
      <c r="CL91" s="158"/>
      <c r="CM91" s="158"/>
      <c r="CN91" s="158"/>
      <c r="CO91" s="158"/>
      <c r="CP91" s="158"/>
      <c r="CQ91" s="158"/>
      <c r="CR91" s="158"/>
      <c r="CS91" s="158"/>
      <c r="CU91" s="241" t="s">
        <v>260</v>
      </c>
      <c r="CV91" s="169">
        <v>51.8</v>
      </c>
      <c r="CW91" s="164">
        <v>8.9999999999999993E-3</v>
      </c>
      <c r="CX91" s="226">
        <v>2.5000000000000001E-2</v>
      </c>
      <c r="CY91" s="160">
        <v>3.5999999999999997E-2</v>
      </c>
      <c r="CZ91" s="227">
        <v>4.7E-2</v>
      </c>
      <c r="DA91" s="228">
        <v>0.05</v>
      </c>
      <c r="DB91" s="158"/>
      <c r="DC91" s="158"/>
      <c r="DD91" s="158"/>
      <c r="DE91" s="158"/>
      <c r="DF91" s="158"/>
      <c r="DG91" s="158"/>
      <c r="DH91" s="158"/>
      <c r="DI91" s="158"/>
    </row>
    <row r="92" spans="1:113" x14ac:dyDescent="0.2">
      <c r="A92" s="363"/>
      <c r="B92" s="241" t="s">
        <v>261</v>
      </c>
      <c r="C92" s="169">
        <v>51.8</v>
      </c>
      <c r="D92" s="229">
        <v>7.0000000000000001E-3</v>
      </c>
      <c r="E92" s="230">
        <v>2.4E-2</v>
      </c>
      <c r="F92" s="201">
        <v>3.7999999999999999E-2</v>
      </c>
      <c r="G92" s="231">
        <v>4.4999999999999998E-2</v>
      </c>
      <c r="H92" s="158"/>
      <c r="I92" s="158"/>
      <c r="J92" s="158"/>
      <c r="K92" s="158"/>
      <c r="L92" s="158"/>
      <c r="M92" s="158"/>
      <c r="N92" s="158"/>
      <c r="O92" s="158"/>
      <c r="P92" s="158"/>
      <c r="R92" s="241" t="s">
        <v>261</v>
      </c>
      <c r="S92" s="169">
        <v>51.8</v>
      </c>
      <c r="T92" s="229">
        <v>7.0000000000000001E-3</v>
      </c>
      <c r="U92" s="230">
        <v>2.4E-2</v>
      </c>
      <c r="V92" s="201">
        <v>3.7999999999999999E-2</v>
      </c>
      <c r="W92" s="231">
        <v>4.4999999999999998E-2</v>
      </c>
      <c r="X92" s="158"/>
      <c r="Y92" s="158"/>
      <c r="Z92" s="158"/>
      <c r="AA92" s="158"/>
      <c r="AB92" s="158"/>
      <c r="AC92" s="158"/>
      <c r="AD92" s="158"/>
      <c r="AE92" s="158"/>
      <c r="AF92" s="158"/>
      <c r="AH92" s="241" t="s">
        <v>261</v>
      </c>
      <c r="AI92" s="169">
        <v>51.8</v>
      </c>
      <c r="AJ92" s="229">
        <v>7.0000000000000001E-3</v>
      </c>
      <c r="AK92" s="230">
        <v>2.4E-2</v>
      </c>
      <c r="AL92" s="201">
        <v>3.7999999999999999E-2</v>
      </c>
      <c r="AM92" s="231">
        <v>4.4999999999999998E-2</v>
      </c>
      <c r="AN92" s="158"/>
      <c r="AO92" s="158"/>
      <c r="AP92" s="158"/>
      <c r="AQ92" s="158"/>
      <c r="AR92" s="158"/>
      <c r="AS92" s="158"/>
      <c r="AT92" s="158"/>
      <c r="AU92" s="158"/>
      <c r="AV92" s="158"/>
      <c r="AX92" s="241" t="s">
        <v>261</v>
      </c>
      <c r="AY92" s="169">
        <v>51.8</v>
      </c>
      <c r="AZ92" s="229">
        <v>7.0000000000000001E-3</v>
      </c>
      <c r="BA92" s="230">
        <v>2.4E-2</v>
      </c>
      <c r="BB92" s="201">
        <v>3.7999999999999999E-2</v>
      </c>
      <c r="BC92" s="231">
        <v>4.4999999999999998E-2</v>
      </c>
      <c r="BD92" s="158"/>
      <c r="BE92" s="158"/>
      <c r="BF92" s="158"/>
      <c r="BG92" s="158"/>
      <c r="BH92" s="158"/>
      <c r="BI92" s="158"/>
      <c r="BJ92" s="158"/>
      <c r="BK92" s="158"/>
      <c r="BL92" s="158"/>
      <c r="BN92" s="241" t="s">
        <v>261</v>
      </c>
      <c r="BO92" s="169">
        <v>51.8</v>
      </c>
      <c r="BP92" s="229">
        <v>7.0000000000000001E-3</v>
      </c>
      <c r="BQ92" s="230">
        <v>2.4E-2</v>
      </c>
      <c r="BR92" s="201">
        <v>3.7999999999999999E-2</v>
      </c>
      <c r="BS92" s="231">
        <v>4.4999999999999998E-2</v>
      </c>
      <c r="BT92" s="158"/>
      <c r="BU92" s="158"/>
      <c r="BV92" s="158"/>
      <c r="BW92" s="158"/>
      <c r="BX92" s="158"/>
      <c r="BY92" s="158"/>
      <c r="BZ92" s="158"/>
      <c r="CA92" s="158"/>
      <c r="CB92" s="158"/>
      <c r="CD92" s="241" t="s">
        <v>261</v>
      </c>
      <c r="CE92" s="169">
        <v>51.8</v>
      </c>
      <c r="CF92" s="169"/>
      <c r="CG92" s="229">
        <v>7.0000000000000001E-3</v>
      </c>
      <c r="CH92" s="230">
        <v>2.4E-2</v>
      </c>
      <c r="CI92" s="201">
        <v>3.7999999999999999E-2</v>
      </c>
      <c r="CJ92" s="231">
        <v>4.4999999999999998E-2</v>
      </c>
      <c r="CK92" s="158"/>
      <c r="CL92" s="158"/>
      <c r="CM92" s="158"/>
      <c r="CN92" s="158"/>
      <c r="CO92" s="158"/>
      <c r="CP92" s="158"/>
      <c r="CQ92" s="158"/>
      <c r="CR92" s="158"/>
      <c r="CS92" s="158"/>
      <c r="CU92" s="241" t="s">
        <v>261</v>
      </c>
      <c r="CV92" s="169">
        <v>51.8</v>
      </c>
      <c r="CW92" s="229">
        <v>7.0000000000000001E-3</v>
      </c>
      <c r="CX92" s="230">
        <v>2.4E-2</v>
      </c>
      <c r="CY92" s="201">
        <v>3.7999999999999999E-2</v>
      </c>
      <c r="CZ92" s="231">
        <v>4.4999999999999998E-2</v>
      </c>
      <c r="DA92" s="158"/>
      <c r="DB92" s="158"/>
      <c r="DC92" s="158"/>
      <c r="DD92" s="158"/>
      <c r="DE92" s="158"/>
      <c r="DF92" s="158"/>
      <c r="DG92" s="158"/>
      <c r="DH92" s="158"/>
      <c r="DI92" s="158"/>
    </row>
    <row r="93" spans="1:113" x14ac:dyDescent="0.2">
      <c r="A93" s="363"/>
      <c r="B93" s="241" t="s">
        <v>262</v>
      </c>
      <c r="C93" s="169">
        <v>51.3</v>
      </c>
      <c r="D93" s="232">
        <v>8.9999999999999993E-3</v>
      </c>
      <c r="E93" s="233">
        <v>2.5999999999999999E-2</v>
      </c>
      <c r="F93" s="234">
        <v>3.7999999999999999E-2</v>
      </c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R93" s="241" t="s">
        <v>262</v>
      </c>
      <c r="S93" s="169">
        <v>51.3</v>
      </c>
      <c r="T93" s="232">
        <v>8.9999999999999993E-3</v>
      </c>
      <c r="U93" s="233">
        <v>2.5999999999999999E-2</v>
      </c>
      <c r="V93" s="234">
        <v>3.7999999999999999E-2</v>
      </c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H93" s="241" t="s">
        <v>262</v>
      </c>
      <c r="AI93" s="169">
        <v>51.3</v>
      </c>
      <c r="AJ93" s="232">
        <v>8.9999999999999993E-3</v>
      </c>
      <c r="AK93" s="233">
        <v>2.5999999999999999E-2</v>
      </c>
      <c r="AL93" s="234">
        <v>3.7999999999999999E-2</v>
      </c>
      <c r="AM93" s="158"/>
      <c r="AN93" s="158"/>
      <c r="AO93" s="158"/>
      <c r="AP93" s="158"/>
      <c r="AQ93" s="158"/>
      <c r="AR93" s="158"/>
      <c r="AS93" s="158"/>
      <c r="AT93" s="158"/>
      <c r="AU93" s="158"/>
      <c r="AV93" s="158"/>
      <c r="AX93" s="241" t="s">
        <v>262</v>
      </c>
      <c r="AY93" s="169">
        <v>51.3</v>
      </c>
      <c r="AZ93" s="232">
        <v>8.9999999999999993E-3</v>
      </c>
      <c r="BA93" s="233">
        <v>2.5999999999999999E-2</v>
      </c>
      <c r="BB93" s="234">
        <v>3.7999999999999999E-2</v>
      </c>
      <c r="BC93" s="158"/>
      <c r="BD93" s="158"/>
      <c r="BE93" s="158"/>
      <c r="BF93" s="158"/>
      <c r="BG93" s="158"/>
      <c r="BH93" s="158"/>
      <c r="BI93" s="158"/>
      <c r="BJ93" s="158"/>
      <c r="BK93" s="158"/>
      <c r="BL93" s="158"/>
      <c r="BN93" s="241" t="s">
        <v>262</v>
      </c>
      <c r="BO93" s="169">
        <v>51.3</v>
      </c>
      <c r="BP93" s="232">
        <v>8.9999999999999993E-3</v>
      </c>
      <c r="BQ93" s="233">
        <v>2.5999999999999999E-2</v>
      </c>
      <c r="BR93" s="234">
        <v>3.7999999999999999E-2</v>
      </c>
      <c r="BS93" s="158"/>
      <c r="BT93" s="158"/>
      <c r="BU93" s="158"/>
      <c r="BV93" s="158"/>
      <c r="BW93" s="158"/>
      <c r="BX93" s="158"/>
      <c r="BY93" s="158"/>
      <c r="BZ93" s="158"/>
      <c r="CA93" s="158"/>
      <c r="CB93" s="158"/>
      <c r="CD93" s="241" t="s">
        <v>262</v>
      </c>
      <c r="CE93" s="169">
        <v>51.3</v>
      </c>
      <c r="CF93" s="169"/>
      <c r="CG93" s="232">
        <v>8.9999999999999993E-3</v>
      </c>
      <c r="CH93" s="233">
        <v>2.5999999999999999E-2</v>
      </c>
      <c r="CI93" s="234">
        <v>3.7999999999999999E-2</v>
      </c>
      <c r="CJ93" s="158"/>
      <c r="CK93" s="158"/>
      <c r="CL93" s="158"/>
      <c r="CM93" s="158"/>
      <c r="CN93" s="158"/>
      <c r="CO93" s="158"/>
      <c r="CP93" s="158"/>
      <c r="CQ93" s="158"/>
      <c r="CR93" s="158"/>
      <c r="CS93" s="158"/>
      <c r="CU93" s="241" t="s">
        <v>262</v>
      </c>
      <c r="CV93" s="169">
        <v>51.3</v>
      </c>
      <c r="CW93" s="232">
        <v>8.9999999999999993E-3</v>
      </c>
      <c r="CX93" s="233">
        <v>2.5999999999999999E-2</v>
      </c>
      <c r="CY93" s="234">
        <v>3.7999999999999999E-2</v>
      </c>
      <c r="CZ93" s="158"/>
      <c r="DA93" s="158"/>
      <c r="DB93" s="158"/>
      <c r="DC93" s="158"/>
      <c r="DD93" s="158"/>
      <c r="DE93" s="158"/>
      <c r="DF93" s="158"/>
      <c r="DG93" s="158"/>
      <c r="DH93" s="158"/>
      <c r="DI93" s="158"/>
    </row>
    <row r="94" spans="1:113" x14ac:dyDescent="0.2">
      <c r="A94" s="363"/>
      <c r="B94" s="241" t="s">
        <v>263</v>
      </c>
      <c r="C94" s="169">
        <v>57.6</v>
      </c>
      <c r="D94" s="235">
        <v>8.9999999999999993E-3</v>
      </c>
      <c r="E94" s="236">
        <v>2.5000000000000001E-2</v>
      </c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R94" s="241" t="s">
        <v>263</v>
      </c>
      <c r="S94" s="169">
        <v>57.6</v>
      </c>
      <c r="T94" s="235">
        <v>8.9999999999999993E-3</v>
      </c>
      <c r="U94" s="236">
        <v>2.5000000000000001E-2</v>
      </c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H94" s="241" t="s">
        <v>263</v>
      </c>
      <c r="AI94" s="169">
        <v>57.6</v>
      </c>
      <c r="AJ94" s="235">
        <v>8.9999999999999993E-3</v>
      </c>
      <c r="AK94" s="236">
        <v>2.5000000000000001E-2</v>
      </c>
      <c r="AL94" s="158"/>
      <c r="AM94" s="158"/>
      <c r="AN94" s="158"/>
      <c r="AO94" s="158"/>
      <c r="AP94" s="158"/>
      <c r="AQ94" s="158"/>
      <c r="AR94" s="158"/>
      <c r="AS94" s="158"/>
      <c r="AT94" s="158"/>
      <c r="AU94" s="158"/>
      <c r="AV94" s="158"/>
      <c r="AX94" s="241" t="s">
        <v>263</v>
      </c>
      <c r="AY94" s="169">
        <v>57.6</v>
      </c>
      <c r="AZ94" s="235">
        <v>8.9999999999999993E-3</v>
      </c>
      <c r="BA94" s="236">
        <v>2.5000000000000001E-2</v>
      </c>
      <c r="BB94" s="158"/>
      <c r="BC94" s="158"/>
      <c r="BD94" s="158"/>
      <c r="BE94" s="158"/>
      <c r="BF94" s="158"/>
      <c r="BG94" s="158"/>
      <c r="BH94" s="158"/>
      <c r="BI94" s="158"/>
      <c r="BJ94" s="158"/>
      <c r="BK94" s="158"/>
      <c r="BL94" s="158"/>
      <c r="BN94" s="241" t="s">
        <v>263</v>
      </c>
      <c r="BO94" s="169">
        <v>57.6</v>
      </c>
      <c r="BP94" s="235">
        <v>8.9999999999999993E-3</v>
      </c>
      <c r="BQ94" s="236">
        <v>2.5000000000000001E-2</v>
      </c>
      <c r="BR94" s="158"/>
      <c r="BS94" s="158"/>
      <c r="BT94" s="158"/>
      <c r="BU94" s="158"/>
      <c r="BV94" s="158"/>
      <c r="BW94" s="158"/>
      <c r="BX94" s="158"/>
      <c r="BY94" s="158"/>
      <c r="BZ94" s="158"/>
      <c r="CA94" s="158"/>
      <c r="CB94" s="158"/>
      <c r="CD94" s="241" t="s">
        <v>263</v>
      </c>
      <c r="CE94" s="169">
        <v>57.6</v>
      </c>
      <c r="CF94" s="169"/>
      <c r="CG94" s="235">
        <v>8.9999999999999993E-3</v>
      </c>
      <c r="CH94" s="236">
        <v>2.5000000000000001E-2</v>
      </c>
      <c r="CI94" s="158"/>
      <c r="CJ94" s="158"/>
      <c r="CK94" s="158"/>
      <c r="CL94" s="158"/>
      <c r="CM94" s="158"/>
      <c r="CN94" s="158"/>
      <c r="CO94" s="158"/>
      <c r="CP94" s="158"/>
      <c r="CQ94" s="158"/>
      <c r="CR94" s="158"/>
      <c r="CS94" s="158"/>
      <c r="CU94" s="241" t="s">
        <v>263</v>
      </c>
      <c r="CV94" s="169">
        <v>57.6</v>
      </c>
      <c r="CW94" s="235">
        <v>8.9999999999999993E-3</v>
      </c>
      <c r="CX94" s="236">
        <v>2.5000000000000001E-2</v>
      </c>
      <c r="CY94" s="158"/>
      <c r="CZ94" s="158"/>
      <c r="DA94" s="158"/>
      <c r="DB94" s="158"/>
      <c r="DC94" s="158"/>
      <c r="DD94" s="158"/>
      <c r="DE94" s="158"/>
      <c r="DF94" s="158"/>
      <c r="DG94" s="158"/>
      <c r="DH94" s="158"/>
      <c r="DI94" s="158"/>
    </row>
    <row r="95" spans="1:113" ht="16" thickBot="1" x14ac:dyDescent="0.25">
      <c r="A95" s="364"/>
      <c r="B95" s="242" t="s">
        <v>271</v>
      </c>
      <c r="C95" s="237">
        <v>53.5</v>
      </c>
      <c r="D95" s="238">
        <v>7.0000000000000001E-3</v>
      </c>
      <c r="E95" s="239"/>
      <c r="F95" s="239"/>
      <c r="G95" s="239"/>
      <c r="H95" s="239"/>
      <c r="I95" s="239"/>
      <c r="J95" s="239"/>
      <c r="K95" s="239"/>
      <c r="L95" s="239"/>
      <c r="M95" s="239"/>
      <c r="N95" s="239"/>
      <c r="O95" s="239"/>
      <c r="P95" s="239"/>
      <c r="R95" s="242" t="s">
        <v>271</v>
      </c>
      <c r="S95" s="237">
        <v>53.5</v>
      </c>
      <c r="T95" s="238">
        <v>7.0000000000000001E-3</v>
      </c>
      <c r="U95" s="239"/>
      <c r="V95" s="239"/>
      <c r="W95" s="239"/>
      <c r="X95" s="239"/>
      <c r="Y95" s="239"/>
      <c r="Z95" s="239"/>
      <c r="AA95" s="239"/>
      <c r="AB95" s="239"/>
      <c r="AC95" s="239"/>
      <c r="AD95" s="239"/>
      <c r="AE95" s="239"/>
      <c r="AF95" s="239"/>
      <c r="AH95" s="242" t="s">
        <v>271</v>
      </c>
      <c r="AI95" s="237">
        <v>53.5</v>
      </c>
      <c r="AJ95" s="238">
        <v>7.0000000000000001E-3</v>
      </c>
      <c r="AK95" s="239"/>
      <c r="AL95" s="239"/>
      <c r="AM95" s="239"/>
      <c r="AN95" s="239"/>
      <c r="AO95" s="239"/>
      <c r="AP95" s="239"/>
      <c r="AQ95" s="239"/>
      <c r="AR95" s="239"/>
      <c r="AS95" s="239"/>
      <c r="AT95" s="239"/>
      <c r="AU95" s="239"/>
      <c r="AV95" s="239"/>
      <c r="AX95" s="242" t="s">
        <v>271</v>
      </c>
      <c r="AY95" s="237">
        <v>53.5</v>
      </c>
      <c r="AZ95" s="238">
        <v>7.0000000000000001E-3</v>
      </c>
      <c r="BA95" s="239"/>
      <c r="BB95" s="239"/>
      <c r="BC95" s="239"/>
      <c r="BD95" s="239"/>
      <c r="BE95" s="239"/>
      <c r="BF95" s="239"/>
      <c r="BG95" s="239"/>
      <c r="BH95" s="239"/>
      <c r="BI95" s="239"/>
      <c r="BJ95" s="239"/>
      <c r="BK95" s="239"/>
      <c r="BL95" s="239"/>
      <c r="BN95" s="242" t="s">
        <v>271</v>
      </c>
      <c r="BO95" s="237">
        <v>53.5</v>
      </c>
      <c r="BP95" s="238">
        <v>7.0000000000000001E-3</v>
      </c>
      <c r="BQ95" s="239"/>
      <c r="BR95" s="239"/>
      <c r="BS95" s="239"/>
      <c r="BT95" s="239"/>
      <c r="BU95" s="239"/>
      <c r="BV95" s="239"/>
      <c r="BW95" s="239"/>
      <c r="BX95" s="239"/>
      <c r="BY95" s="239"/>
      <c r="BZ95" s="239"/>
      <c r="CA95" s="239"/>
      <c r="CB95" s="239"/>
      <c r="CD95" s="242" t="s">
        <v>271</v>
      </c>
      <c r="CE95" s="237">
        <v>53.5</v>
      </c>
      <c r="CF95" s="237"/>
      <c r="CG95" s="238">
        <v>7.0000000000000001E-3</v>
      </c>
      <c r="CH95" s="239"/>
      <c r="CI95" s="239"/>
      <c r="CJ95" s="239"/>
      <c r="CK95" s="239"/>
      <c r="CL95" s="239"/>
      <c r="CM95" s="239"/>
      <c r="CN95" s="239"/>
      <c r="CO95" s="239"/>
      <c r="CP95" s="239"/>
      <c r="CQ95" s="239"/>
      <c r="CR95" s="239"/>
      <c r="CS95" s="239"/>
      <c r="CU95" s="242" t="s">
        <v>271</v>
      </c>
      <c r="CV95" s="237">
        <v>53.5</v>
      </c>
      <c r="CW95" s="238">
        <v>7.0000000000000001E-3</v>
      </c>
      <c r="CX95" s="239"/>
      <c r="CY95" s="239"/>
      <c r="CZ95" s="239"/>
      <c r="DA95" s="239"/>
      <c r="DB95" s="239"/>
      <c r="DC95" s="239"/>
      <c r="DD95" s="239"/>
      <c r="DE95" s="239"/>
      <c r="DF95" s="239"/>
      <c r="DG95" s="239"/>
      <c r="DH95" s="239"/>
      <c r="DI95" s="239"/>
    </row>
    <row r="96" spans="1:113" ht="16" thickBot="1" x14ac:dyDescent="0.25"/>
    <row r="97" spans="1:113" x14ac:dyDescent="0.2">
      <c r="A97" s="362" t="s">
        <v>78</v>
      </c>
      <c r="B97" s="361" t="s">
        <v>274</v>
      </c>
      <c r="C97" s="361"/>
      <c r="D97" s="361"/>
      <c r="E97" s="361"/>
      <c r="F97" s="361"/>
      <c r="G97" s="361"/>
      <c r="H97" s="361"/>
      <c r="I97" s="361"/>
      <c r="J97" s="361"/>
      <c r="K97" s="361"/>
      <c r="L97" s="361"/>
      <c r="M97" s="361"/>
      <c r="N97" s="361"/>
      <c r="O97" s="361"/>
      <c r="P97" s="361"/>
      <c r="R97" s="361" t="s">
        <v>275</v>
      </c>
      <c r="S97" s="361"/>
      <c r="T97" s="361"/>
      <c r="U97" s="361"/>
      <c r="V97" s="361"/>
      <c r="W97" s="361"/>
      <c r="X97" s="361"/>
      <c r="Y97" s="361"/>
      <c r="Z97" s="361"/>
      <c r="AA97" s="361"/>
      <c r="AB97" s="361"/>
      <c r="AC97" s="361"/>
      <c r="AD97" s="361"/>
      <c r="AE97" s="361"/>
      <c r="AF97" s="361"/>
      <c r="AH97" s="361" t="s">
        <v>276</v>
      </c>
      <c r="AI97" s="361"/>
      <c r="AJ97" s="361"/>
      <c r="AK97" s="361"/>
      <c r="AL97" s="361"/>
      <c r="AM97" s="361"/>
      <c r="AN97" s="361"/>
      <c r="AO97" s="361"/>
      <c r="AP97" s="361"/>
      <c r="AQ97" s="361"/>
      <c r="AR97" s="361"/>
      <c r="AS97" s="361"/>
      <c r="AT97" s="361"/>
      <c r="AU97" s="361"/>
      <c r="AV97" s="361"/>
      <c r="AX97" s="361" t="s">
        <v>277</v>
      </c>
      <c r="AY97" s="361"/>
      <c r="AZ97" s="361"/>
      <c r="BA97" s="361"/>
      <c r="BB97" s="361"/>
      <c r="BC97" s="361"/>
      <c r="BD97" s="361"/>
      <c r="BE97" s="361"/>
      <c r="BF97" s="361"/>
      <c r="BG97" s="361"/>
      <c r="BH97" s="361"/>
      <c r="BI97" s="361"/>
      <c r="BJ97" s="361"/>
      <c r="BK97" s="361"/>
      <c r="BL97" s="361"/>
      <c r="BN97" s="361" t="s">
        <v>278</v>
      </c>
      <c r="BO97" s="361"/>
      <c r="BP97" s="361"/>
      <c r="BQ97" s="361"/>
      <c r="BR97" s="361"/>
      <c r="BS97" s="361"/>
      <c r="BT97" s="361"/>
      <c r="BU97" s="361"/>
      <c r="BV97" s="361"/>
      <c r="BW97" s="361"/>
      <c r="BX97" s="361"/>
      <c r="BY97" s="361"/>
      <c r="BZ97" s="361"/>
      <c r="CA97" s="361"/>
      <c r="CB97" s="361"/>
      <c r="CD97" s="361" t="s">
        <v>279</v>
      </c>
      <c r="CE97" s="361"/>
      <c r="CF97" s="361"/>
      <c r="CG97" s="361"/>
      <c r="CH97" s="361"/>
      <c r="CI97" s="361"/>
      <c r="CJ97" s="361"/>
      <c r="CK97" s="361"/>
      <c r="CL97" s="361"/>
      <c r="CM97" s="361"/>
      <c r="CN97" s="361"/>
      <c r="CO97" s="361"/>
      <c r="CP97" s="361"/>
      <c r="CQ97" s="361"/>
      <c r="CR97" s="361"/>
      <c r="CS97" s="361"/>
      <c r="CU97" s="361" t="s">
        <v>280</v>
      </c>
      <c r="CV97" s="361"/>
      <c r="CW97" s="361"/>
      <c r="CX97" s="361"/>
      <c r="CY97" s="361"/>
      <c r="CZ97" s="361"/>
      <c r="DA97" s="361"/>
      <c r="DB97" s="361"/>
      <c r="DC97" s="361"/>
      <c r="DD97" s="361"/>
      <c r="DE97" s="361"/>
      <c r="DF97" s="361"/>
      <c r="DG97" s="361"/>
      <c r="DH97" s="361"/>
      <c r="DI97" s="361"/>
    </row>
    <row r="98" spans="1:113" x14ac:dyDescent="0.2">
      <c r="A98" s="363"/>
      <c r="B98" s="240" t="s">
        <v>126</v>
      </c>
      <c r="C98" s="157" t="s">
        <v>281</v>
      </c>
      <c r="D98" s="157">
        <v>1</v>
      </c>
      <c r="E98" s="157">
        <v>2</v>
      </c>
      <c r="F98" s="157">
        <v>3</v>
      </c>
      <c r="G98" s="157">
        <v>4</v>
      </c>
      <c r="H98" s="157">
        <v>5</v>
      </c>
      <c r="I98" s="157">
        <v>6</v>
      </c>
      <c r="J98" s="157">
        <v>7</v>
      </c>
      <c r="K98" s="157">
        <v>8</v>
      </c>
      <c r="L98" s="157">
        <v>9</v>
      </c>
      <c r="M98" s="157">
        <v>10</v>
      </c>
      <c r="N98" s="157">
        <v>11</v>
      </c>
      <c r="O98" s="157">
        <v>12</v>
      </c>
      <c r="P98" s="157">
        <v>13</v>
      </c>
      <c r="R98" s="240" t="s">
        <v>126</v>
      </c>
      <c r="S98" s="157" t="s">
        <v>281</v>
      </c>
      <c r="T98" s="157">
        <v>2</v>
      </c>
      <c r="U98" s="157">
        <v>3</v>
      </c>
      <c r="V98" s="157">
        <v>4</v>
      </c>
      <c r="W98" s="157">
        <v>5</v>
      </c>
      <c r="X98" s="157">
        <v>6</v>
      </c>
      <c r="Y98" s="157">
        <v>7</v>
      </c>
      <c r="Z98" s="157">
        <v>8</v>
      </c>
      <c r="AA98" s="157">
        <v>9</v>
      </c>
      <c r="AB98" s="157">
        <v>10</v>
      </c>
      <c r="AC98" s="157">
        <v>11</v>
      </c>
      <c r="AD98" s="157">
        <v>12</v>
      </c>
      <c r="AE98" s="157">
        <v>13</v>
      </c>
      <c r="AF98" s="157">
        <v>14</v>
      </c>
      <c r="AH98" s="240" t="s">
        <v>126</v>
      </c>
      <c r="AI98" s="157" t="s">
        <v>281</v>
      </c>
      <c r="AJ98" s="157">
        <v>3</v>
      </c>
      <c r="AK98" s="157">
        <v>4</v>
      </c>
      <c r="AL98" s="157">
        <v>5</v>
      </c>
      <c r="AM98" s="157">
        <v>6</v>
      </c>
      <c r="AN98" s="157">
        <v>7</v>
      </c>
      <c r="AO98" s="157">
        <v>8</v>
      </c>
      <c r="AP98" s="157">
        <v>9</v>
      </c>
      <c r="AQ98" s="157">
        <v>10</v>
      </c>
      <c r="AR98" s="157">
        <v>11</v>
      </c>
      <c r="AS98" s="157">
        <v>12</v>
      </c>
      <c r="AT98" s="157">
        <v>13</v>
      </c>
      <c r="AU98" s="157">
        <v>14</v>
      </c>
      <c r="AV98" s="157">
        <v>15</v>
      </c>
      <c r="AX98" s="240" t="s">
        <v>126</v>
      </c>
      <c r="AY98" s="157" t="s">
        <v>281</v>
      </c>
      <c r="AZ98" s="157">
        <v>4</v>
      </c>
      <c r="BA98" s="157">
        <v>5</v>
      </c>
      <c r="BB98" s="157">
        <v>6</v>
      </c>
      <c r="BC98" s="157">
        <v>7</v>
      </c>
      <c r="BD98" s="157">
        <v>8</v>
      </c>
      <c r="BE98" s="157">
        <v>9</v>
      </c>
      <c r="BF98" s="157">
        <v>10</v>
      </c>
      <c r="BG98" s="157">
        <v>11</v>
      </c>
      <c r="BH98" s="157">
        <v>12</v>
      </c>
      <c r="BI98" s="157">
        <v>13</v>
      </c>
      <c r="BJ98" s="157">
        <v>14</v>
      </c>
      <c r="BK98" s="157">
        <v>15</v>
      </c>
      <c r="BL98" s="157">
        <v>16</v>
      </c>
      <c r="BN98" s="240" t="s">
        <v>126</v>
      </c>
      <c r="BO98" s="157" t="s">
        <v>281</v>
      </c>
      <c r="BP98" s="157">
        <v>4</v>
      </c>
      <c r="BQ98" s="157">
        <v>5</v>
      </c>
      <c r="BR98" s="157">
        <v>6</v>
      </c>
      <c r="BS98" s="157">
        <v>7</v>
      </c>
      <c r="BT98" s="157">
        <v>8</v>
      </c>
      <c r="BU98" s="157">
        <v>9</v>
      </c>
      <c r="BV98" s="157">
        <v>10</v>
      </c>
      <c r="BW98" s="157">
        <v>11</v>
      </c>
      <c r="BX98" s="157">
        <v>12</v>
      </c>
      <c r="BY98" s="157">
        <v>13</v>
      </c>
      <c r="BZ98" s="157">
        <v>14</v>
      </c>
      <c r="CA98" s="157">
        <v>15</v>
      </c>
      <c r="CB98" s="157">
        <v>16</v>
      </c>
      <c r="CD98" s="240" t="s">
        <v>126</v>
      </c>
      <c r="CE98" s="157" t="s">
        <v>281</v>
      </c>
      <c r="CF98" s="157" t="s">
        <v>282</v>
      </c>
      <c r="CG98" s="157">
        <v>1</v>
      </c>
      <c r="CH98" s="157">
        <v>2</v>
      </c>
      <c r="CI98" s="157">
        <v>3</v>
      </c>
      <c r="CJ98" s="157">
        <v>4</v>
      </c>
      <c r="CK98" s="157">
        <v>5</v>
      </c>
      <c r="CL98" s="157">
        <v>6</v>
      </c>
      <c r="CM98" s="157">
        <v>7</v>
      </c>
      <c r="CN98" s="157">
        <v>8</v>
      </c>
      <c r="CO98" s="157">
        <v>9</v>
      </c>
      <c r="CP98" s="157">
        <v>10</v>
      </c>
      <c r="CQ98" s="157">
        <v>11</v>
      </c>
      <c r="CR98" s="157">
        <v>12</v>
      </c>
      <c r="CS98" s="157">
        <v>13</v>
      </c>
      <c r="CU98" s="240" t="s">
        <v>126</v>
      </c>
      <c r="CV98" s="157" t="s">
        <v>281</v>
      </c>
      <c r="CW98" s="157">
        <v>1</v>
      </c>
      <c r="CX98" s="157">
        <v>2</v>
      </c>
      <c r="CY98" s="157">
        <v>3</v>
      </c>
      <c r="CZ98" s="157">
        <v>4</v>
      </c>
      <c r="DA98" s="157">
        <v>5</v>
      </c>
      <c r="DB98" s="157">
        <v>6</v>
      </c>
      <c r="DC98" s="157">
        <v>7</v>
      </c>
      <c r="DD98" s="157">
        <v>8</v>
      </c>
      <c r="DE98" s="157">
        <v>9</v>
      </c>
      <c r="DF98" s="157">
        <v>10</v>
      </c>
      <c r="DG98" s="157">
        <v>11</v>
      </c>
      <c r="DH98" s="157">
        <v>12</v>
      </c>
      <c r="DI98" s="157">
        <v>13</v>
      </c>
    </row>
    <row r="99" spans="1:113" x14ac:dyDescent="0.2">
      <c r="A99" s="363"/>
      <c r="B99" s="241" t="s">
        <v>283</v>
      </c>
      <c r="C99" s="158">
        <v>22.2</v>
      </c>
      <c r="D99" s="187">
        <v>7.0000000000000001E-3</v>
      </c>
      <c r="E99" s="168">
        <v>1.7999999999999999E-2</v>
      </c>
      <c r="F99" s="191">
        <v>2.5999999999999999E-2</v>
      </c>
      <c r="G99" s="192">
        <v>3.4000000000000002E-2</v>
      </c>
      <c r="H99" s="185">
        <v>3.7999999999999999E-2</v>
      </c>
      <c r="I99" s="184">
        <v>3.9E-2</v>
      </c>
      <c r="J99" s="193">
        <v>3.5999999999999997E-2</v>
      </c>
      <c r="K99" s="167">
        <v>3.3000000000000002E-2</v>
      </c>
      <c r="L99" s="194">
        <v>3.2000000000000001E-2</v>
      </c>
      <c r="M99" s="195">
        <v>3.1E-2</v>
      </c>
      <c r="N99" s="162">
        <v>0.03</v>
      </c>
      <c r="O99" s="175">
        <v>0.03</v>
      </c>
      <c r="P99" s="196">
        <v>2.9000000000000001E-2</v>
      </c>
      <c r="R99" s="241" t="s">
        <v>283</v>
      </c>
      <c r="S99" s="158">
        <v>22.2</v>
      </c>
      <c r="T99" s="187">
        <v>7.0000000000000001E-3</v>
      </c>
      <c r="U99" s="168">
        <v>1.7999999999999999E-2</v>
      </c>
      <c r="V99" s="191">
        <v>2.5999999999999999E-2</v>
      </c>
      <c r="W99" s="192">
        <v>3.4000000000000002E-2</v>
      </c>
      <c r="X99" s="185">
        <v>3.7999999999999999E-2</v>
      </c>
      <c r="Y99" s="184">
        <v>3.9E-2</v>
      </c>
      <c r="Z99" s="193">
        <v>3.5999999999999997E-2</v>
      </c>
      <c r="AA99" s="167">
        <v>3.3000000000000002E-2</v>
      </c>
      <c r="AB99" s="194">
        <v>3.2000000000000001E-2</v>
      </c>
      <c r="AC99" s="195">
        <v>3.1E-2</v>
      </c>
      <c r="AD99" s="162">
        <v>0.03</v>
      </c>
      <c r="AE99" s="175">
        <v>0.03</v>
      </c>
      <c r="AF99" s="196">
        <v>2.9000000000000001E-2</v>
      </c>
      <c r="AH99" s="241" t="s">
        <v>283</v>
      </c>
      <c r="AI99" s="158">
        <v>22.2</v>
      </c>
      <c r="AJ99" s="187">
        <v>7.0000000000000001E-3</v>
      </c>
      <c r="AK99" s="168">
        <v>1.7999999999999999E-2</v>
      </c>
      <c r="AL99" s="191">
        <v>2.5999999999999999E-2</v>
      </c>
      <c r="AM99" s="192">
        <v>3.4000000000000002E-2</v>
      </c>
      <c r="AN99" s="185">
        <v>3.7999999999999999E-2</v>
      </c>
      <c r="AO99" s="184">
        <v>3.9E-2</v>
      </c>
      <c r="AP99" s="193">
        <v>3.5999999999999997E-2</v>
      </c>
      <c r="AQ99" s="167">
        <v>3.3000000000000002E-2</v>
      </c>
      <c r="AR99" s="194">
        <v>3.2000000000000001E-2</v>
      </c>
      <c r="AS99" s="195">
        <v>3.1E-2</v>
      </c>
      <c r="AT99" s="162">
        <v>0.03</v>
      </c>
      <c r="AU99" s="175">
        <v>0.03</v>
      </c>
      <c r="AV99" s="196">
        <v>2.9000000000000001E-2</v>
      </c>
      <c r="AX99" s="241" t="s">
        <v>283</v>
      </c>
      <c r="AY99" s="158">
        <v>22.2</v>
      </c>
      <c r="AZ99" s="187">
        <v>7.0000000000000001E-3</v>
      </c>
      <c r="BA99" s="168">
        <v>1.7999999999999999E-2</v>
      </c>
      <c r="BB99" s="191">
        <v>2.5999999999999999E-2</v>
      </c>
      <c r="BC99" s="192">
        <v>3.4000000000000002E-2</v>
      </c>
      <c r="BD99" s="185">
        <v>3.7999999999999999E-2</v>
      </c>
      <c r="BE99" s="184">
        <v>3.9E-2</v>
      </c>
      <c r="BF99" s="193">
        <v>3.5999999999999997E-2</v>
      </c>
      <c r="BG99" s="167">
        <v>3.3000000000000002E-2</v>
      </c>
      <c r="BH99" s="194">
        <v>3.2000000000000001E-2</v>
      </c>
      <c r="BI99" s="195">
        <v>3.1E-2</v>
      </c>
      <c r="BJ99" s="162">
        <v>0.03</v>
      </c>
      <c r="BK99" s="175">
        <v>0.03</v>
      </c>
      <c r="BL99" s="196">
        <v>2.9000000000000001E-2</v>
      </c>
      <c r="BN99" s="241" t="s">
        <v>283</v>
      </c>
      <c r="BO99" s="158">
        <v>22.2</v>
      </c>
      <c r="BP99" s="187">
        <v>7.0000000000000001E-3</v>
      </c>
      <c r="BQ99" s="168">
        <v>1.7999999999999999E-2</v>
      </c>
      <c r="BR99" s="191">
        <v>2.5999999999999999E-2</v>
      </c>
      <c r="BS99" s="192">
        <v>3.4000000000000002E-2</v>
      </c>
      <c r="BT99" s="185">
        <v>3.7999999999999999E-2</v>
      </c>
      <c r="BU99" s="184">
        <v>3.9E-2</v>
      </c>
      <c r="BV99" s="193">
        <v>3.5999999999999997E-2</v>
      </c>
      <c r="BW99" s="167">
        <v>3.3000000000000002E-2</v>
      </c>
      <c r="BX99" s="194">
        <v>3.2000000000000001E-2</v>
      </c>
      <c r="BY99" s="195">
        <v>3.1E-2</v>
      </c>
      <c r="BZ99" s="162">
        <v>0.03</v>
      </c>
      <c r="CA99" s="175">
        <v>0.03</v>
      </c>
      <c r="CB99" s="196">
        <v>2.9000000000000001E-2</v>
      </c>
      <c r="CD99" s="241" t="s">
        <v>283</v>
      </c>
      <c r="CE99" s="158">
        <v>22.2</v>
      </c>
      <c r="CF99" s="158"/>
      <c r="CG99" s="187">
        <v>7.0000000000000001E-3</v>
      </c>
      <c r="CH99" s="168">
        <v>1.7999999999999999E-2</v>
      </c>
      <c r="CI99" s="191">
        <v>2.5999999999999999E-2</v>
      </c>
      <c r="CJ99" s="192">
        <v>3.4000000000000002E-2</v>
      </c>
      <c r="CK99" s="185">
        <v>3.7999999999999999E-2</v>
      </c>
      <c r="CL99" s="184">
        <v>3.9E-2</v>
      </c>
      <c r="CM99" s="193">
        <v>3.5999999999999997E-2</v>
      </c>
      <c r="CN99" s="167">
        <v>3.3000000000000002E-2</v>
      </c>
      <c r="CO99" s="194">
        <v>3.2000000000000001E-2</v>
      </c>
      <c r="CP99" s="195">
        <v>3.1E-2</v>
      </c>
      <c r="CQ99" s="162">
        <v>0.03</v>
      </c>
      <c r="CR99" s="175">
        <v>0.03</v>
      </c>
      <c r="CS99" s="196">
        <v>2.9000000000000001E-2</v>
      </c>
      <c r="CU99" s="241" t="s">
        <v>283</v>
      </c>
      <c r="CV99" s="158">
        <v>22.2</v>
      </c>
      <c r="CW99" s="187">
        <v>7.0000000000000001E-3</v>
      </c>
      <c r="CX99" s="168">
        <v>1.7999999999999999E-2</v>
      </c>
      <c r="CY99" s="191">
        <v>2.5999999999999999E-2</v>
      </c>
      <c r="CZ99" s="192">
        <v>3.4000000000000002E-2</v>
      </c>
      <c r="DA99" s="185">
        <v>3.7999999999999999E-2</v>
      </c>
      <c r="DB99" s="184">
        <v>3.9E-2</v>
      </c>
      <c r="DC99" s="193">
        <v>3.5999999999999997E-2</v>
      </c>
      <c r="DD99" s="167">
        <v>3.3000000000000002E-2</v>
      </c>
      <c r="DE99" s="194">
        <v>3.2000000000000001E-2</v>
      </c>
      <c r="DF99" s="195">
        <v>3.1E-2</v>
      </c>
      <c r="DG99" s="162">
        <v>0.03</v>
      </c>
      <c r="DH99" s="175">
        <v>0.03</v>
      </c>
      <c r="DI99" s="196">
        <v>2.9000000000000001E-2</v>
      </c>
    </row>
    <row r="100" spans="1:113" x14ac:dyDescent="0.2">
      <c r="A100" s="363"/>
      <c r="B100" s="241" t="s">
        <v>284</v>
      </c>
      <c r="C100" s="158">
        <v>21.8</v>
      </c>
      <c r="D100" s="197">
        <v>6.0000000000000001E-3</v>
      </c>
      <c r="E100" s="198">
        <v>0.02</v>
      </c>
      <c r="F100" s="199">
        <v>2.9000000000000001E-2</v>
      </c>
      <c r="G100" s="200">
        <v>3.4000000000000002E-2</v>
      </c>
      <c r="H100" s="201">
        <v>3.7999999999999999E-2</v>
      </c>
      <c r="I100" s="202">
        <v>3.7999999999999999E-2</v>
      </c>
      <c r="J100" s="166">
        <v>3.5000000000000003E-2</v>
      </c>
      <c r="K100" s="186">
        <v>3.3000000000000002E-2</v>
      </c>
      <c r="L100" s="159">
        <v>3.1E-2</v>
      </c>
      <c r="M100" s="203">
        <v>3.1E-2</v>
      </c>
      <c r="N100" s="204">
        <v>0.03</v>
      </c>
      <c r="O100" s="205">
        <v>2.9000000000000001E-2</v>
      </c>
      <c r="P100" s="158"/>
      <c r="R100" s="241" t="s">
        <v>284</v>
      </c>
      <c r="S100" s="158">
        <v>21.8</v>
      </c>
      <c r="T100" s="197">
        <v>6.0000000000000001E-3</v>
      </c>
      <c r="U100" s="198">
        <v>0.02</v>
      </c>
      <c r="V100" s="199">
        <v>2.9000000000000001E-2</v>
      </c>
      <c r="W100" s="200">
        <v>3.4000000000000002E-2</v>
      </c>
      <c r="X100" s="201">
        <v>3.7999999999999999E-2</v>
      </c>
      <c r="Y100" s="202">
        <v>3.7999999999999999E-2</v>
      </c>
      <c r="Z100" s="166">
        <v>3.5000000000000003E-2</v>
      </c>
      <c r="AA100" s="186">
        <v>3.3000000000000002E-2</v>
      </c>
      <c r="AB100" s="159">
        <v>3.1E-2</v>
      </c>
      <c r="AC100" s="203">
        <v>3.1E-2</v>
      </c>
      <c r="AD100" s="204">
        <v>0.03</v>
      </c>
      <c r="AE100" s="205">
        <v>2.9000000000000001E-2</v>
      </c>
      <c r="AF100" s="158"/>
      <c r="AH100" s="241" t="s">
        <v>284</v>
      </c>
      <c r="AI100" s="158">
        <v>21.8</v>
      </c>
      <c r="AJ100" s="197">
        <v>6.0000000000000001E-3</v>
      </c>
      <c r="AK100" s="198">
        <v>0.02</v>
      </c>
      <c r="AL100" s="199">
        <v>2.9000000000000001E-2</v>
      </c>
      <c r="AM100" s="200">
        <v>3.4000000000000002E-2</v>
      </c>
      <c r="AN100" s="201">
        <v>3.7999999999999999E-2</v>
      </c>
      <c r="AO100" s="202">
        <v>3.7999999999999999E-2</v>
      </c>
      <c r="AP100" s="166">
        <v>3.5000000000000003E-2</v>
      </c>
      <c r="AQ100" s="186">
        <v>3.3000000000000002E-2</v>
      </c>
      <c r="AR100" s="159">
        <v>3.1E-2</v>
      </c>
      <c r="AS100" s="203">
        <v>3.1E-2</v>
      </c>
      <c r="AT100" s="204">
        <v>0.03</v>
      </c>
      <c r="AU100" s="205">
        <v>2.9000000000000001E-2</v>
      </c>
      <c r="AV100" s="158"/>
      <c r="AX100" s="241" t="s">
        <v>284</v>
      </c>
      <c r="AY100" s="158">
        <v>21.8</v>
      </c>
      <c r="AZ100" s="197">
        <v>6.0000000000000001E-3</v>
      </c>
      <c r="BA100" s="198">
        <v>0.02</v>
      </c>
      <c r="BB100" s="199">
        <v>2.9000000000000001E-2</v>
      </c>
      <c r="BC100" s="200">
        <v>3.4000000000000002E-2</v>
      </c>
      <c r="BD100" s="201">
        <v>3.7999999999999999E-2</v>
      </c>
      <c r="BE100" s="202">
        <v>3.7999999999999999E-2</v>
      </c>
      <c r="BF100" s="166">
        <v>3.5000000000000003E-2</v>
      </c>
      <c r="BG100" s="186">
        <v>3.3000000000000002E-2</v>
      </c>
      <c r="BH100" s="159">
        <v>3.1E-2</v>
      </c>
      <c r="BI100" s="203">
        <v>3.1E-2</v>
      </c>
      <c r="BJ100" s="204">
        <v>0.03</v>
      </c>
      <c r="BK100" s="205">
        <v>2.9000000000000001E-2</v>
      </c>
      <c r="BL100" s="158"/>
      <c r="BN100" s="241" t="s">
        <v>284</v>
      </c>
      <c r="BO100" s="158">
        <v>21.8</v>
      </c>
      <c r="BP100" s="197">
        <v>6.0000000000000001E-3</v>
      </c>
      <c r="BQ100" s="198">
        <v>0.02</v>
      </c>
      <c r="BR100" s="199">
        <v>2.9000000000000001E-2</v>
      </c>
      <c r="BS100" s="200">
        <v>3.4000000000000002E-2</v>
      </c>
      <c r="BT100" s="201">
        <v>3.7999999999999999E-2</v>
      </c>
      <c r="BU100" s="202">
        <v>3.7999999999999999E-2</v>
      </c>
      <c r="BV100" s="166">
        <v>3.5000000000000003E-2</v>
      </c>
      <c r="BW100" s="186">
        <v>3.3000000000000002E-2</v>
      </c>
      <c r="BX100" s="159">
        <v>3.1E-2</v>
      </c>
      <c r="BY100" s="203">
        <v>3.1E-2</v>
      </c>
      <c r="BZ100" s="204">
        <v>0.03</v>
      </c>
      <c r="CA100" s="205">
        <v>2.9000000000000001E-2</v>
      </c>
      <c r="CB100" s="158"/>
      <c r="CD100" s="241" t="s">
        <v>284</v>
      </c>
      <c r="CE100" s="158">
        <v>21.8</v>
      </c>
      <c r="CF100" s="158"/>
      <c r="CG100" s="197">
        <v>6.0000000000000001E-3</v>
      </c>
      <c r="CH100" s="198">
        <v>0.02</v>
      </c>
      <c r="CI100" s="199">
        <v>2.9000000000000001E-2</v>
      </c>
      <c r="CJ100" s="200">
        <v>3.4000000000000002E-2</v>
      </c>
      <c r="CK100" s="201">
        <v>3.7999999999999999E-2</v>
      </c>
      <c r="CL100" s="202">
        <v>3.7999999999999999E-2</v>
      </c>
      <c r="CM100" s="166">
        <v>3.5000000000000003E-2</v>
      </c>
      <c r="CN100" s="186">
        <v>3.3000000000000002E-2</v>
      </c>
      <c r="CO100" s="159">
        <v>3.1E-2</v>
      </c>
      <c r="CP100" s="203">
        <v>3.1E-2</v>
      </c>
      <c r="CQ100" s="204">
        <v>0.03</v>
      </c>
      <c r="CR100" s="205">
        <v>2.9000000000000001E-2</v>
      </c>
      <c r="CS100" s="158"/>
      <c r="CU100" s="241" t="s">
        <v>284</v>
      </c>
      <c r="CV100" s="158">
        <v>21.8</v>
      </c>
      <c r="CW100" s="197">
        <v>6.0000000000000001E-3</v>
      </c>
      <c r="CX100" s="198">
        <v>0.02</v>
      </c>
      <c r="CY100" s="199">
        <v>2.9000000000000001E-2</v>
      </c>
      <c r="CZ100" s="200">
        <v>3.4000000000000002E-2</v>
      </c>
      <c r="DA100" s="201">
        <v>3.7999999999999999E-2</v>
      </c>
      <c r="DB100" s="202">
        <v>3.7999999999999999E-2</v>
      </c>
      <c r="DC100" s="166">
        <v>3.5000000000000003E-2</v>
      </c>
      <c r="DD100" s="186">
        <v>3.3000000000000002E-2</v>
      </c>
      <c r="DE100" s="159">
        <v>3.1E-2</v>
      </c>
      <c r="DF100" s="203">
        <v>3.1E-2</v>
      </c>
      <c r="DG100" s="204">
        <v>0.03</v>
      </c>
      <c r="DH100" s="205">
        <v>2.9000000000000001E-2</v>
      </c>
      <c r="DI100" s="158"/>
    </row>
    <row r="101" spans="1:113" x14ac:dyDescent="0.2">
      <c r="A101" s="363"/>
      <c r="B101" s="241" t="s">
        <v>285</v>
      </c>
      <c r="C101" s="158">
        <v>27</v>
      </c>
      <c r="D101" s="206">
        <v>6.0000000000000001E-3</v>
      </c>
      <c r="E101" s="179">
        <v>2.1000000000000001E-2</v>
      </c>
      <c r="F101" s="163">
        <v>2.9000000000000001E-2</v>
      </c>
      <c r="G101" s="166">
        <v>3.5000000000000003E-2</v>
      </c>
      <c r="H101" s="207">
        <v>4.1000000000000002E-2</v>
      </c>
      <c r="I101" s="181">
        <v>4.2000000000000003E-2</v>
      </c>
      <c r="J101" s="170">
        <v>0.04</v>
      </c>
      <c r="K101" s="208">
        <v>3.6999999999999998E-2</v>
      </c>
      <c r="L101" s="161">
        <v>3.5999999999999997E-2</v>
      </c>
      <c r="M101" s="165">
        <v>3.4000000000000002E-2</v>
      </c>
      <c r="N101" s="167">
        <v>3.3000000000000002E-2</v>
      </c>
      <c r="O101" s="158"/>
      <c r="P101" s="158"/>
      <c r="R101" s="241" t="s">
        <v>285</v>
      </c>
      <c r="S101" s="158">
        <v>27</v>
      </c>
      <c r="T101" s="206">
        <v>6.0000000000000001E-3</v>
      </c>
      <c r="U101" s="179">
        <v>2.1000000000000001E-2</v>
      </c>
      <c r="V101" s="163">
        <v>2.9000000000000001E-2</v>
      </c>
      <c r="W101" s="166">
        <v>3.5000000000000003E-2</v>
      </c>
      <c r="X101" s="207">
        <v>4.1000000000000002E-2</v>
      </c>
      <c r="Y101" s="181">
        <v>4.2000000000000003E-2</v>
      </c>
      <c r="Z101" s="170">
        <v>0.04</v>
      </c>
      <c r="AA101" s="208">
        <v>3.6999999999999998E-2</v>
      </c>
      <c r="AB101" s="161">
        <v>3.5999999999999997E-2</v>
      </c>
      <c r="AC101" s="165">
        <v>3.4000000000000002E-2</v>
      </c>
      <c r="AD101" s="167">
        <v>3.3000000000000002E-2</v>
      </c>
      <c r="AE101" s="158"/>
      <c r="AF101" s="158"/>
      <c r="AH101" s="241" t="s">
        <v>285</v>
      </c>
      <c r="AI101" s="158">
        <v>27</v>
      </c>
      <c r="AJ101" s="206">
        <v>6.0000000000000001E-3</v>
      </c>
      <c r="AK101" s="179">
        <v>2.1000000000000001E-2</v>
      </c>
      <c r="AL101" s="163">
        <v>2.9000000000000001E-2</v>
      </c>
      <c r="AM101" s="166">
        <v>3.5000000000000003E-2</v>
      </c>
      <c r="AN101" s="207">
        <v>4.1000000000000002E-2</v>
      </c>
      <c r="AO101" s="181">
        <v>4.2000000000000003E-2</v>
      </c>
      <c r="AP101" s="170">
        <v>0.04</v>
      </c>
      <c r="AQ101" s="208">
        <v>3.6999999999999998E-2</v>
      </c>
      <c r="AR101" s="161">
        <v>3.5999999999999997E-2</v>
      </c>
      <c r="AS101" s="165">
        <v>3.4000000000000002E-2</v>
      </c>
      <c r="AT101" s="167">
        <v>3.3000000000000002E-2</v>
      </c>
      <c r="AU101" s="158"/>
      <c r="AV101" s="158"/>
      <c r="AX101" s="241" t="s">
        <v>285</v>
      </c>
      <c r="AY101" s="158">
        <v>27</v>
      </c>
      <c r="AZ101" s="206">
        <v>6.0000000000000001E-3</v>
      </c>
      <c r="BA101" s="179">
        <v>2.1000000000000001E-2</v>
      </c>
      <c r="BB101" s="163">
        <v>2.9000000000000001E-2</v>
      </c>
      <c r="BC101" s="166">
        <v>3.5000000000000003E-2</v>
      </c>
      <c r="BD101" s="207">
        <v>4.1000000000000002E-2</v>
      </c>
      <c r="BE101" s="181">
        <v>4.2000000000000003E-2</v>
      </c>
      <c r="BF101" s="170">
        <v>0.04</v>
      </c>
      <c r="BG101" s="208">
        <v>3.6999999999999998E-2</v>
      </c>
      <c r="BH101" s="161">
        <v>3.5999999999999997E-2</v>
      </c>
      <c r="BI101" s="165">
        <v>3.4000000000000002E-2</v>
      </c>
      <c r="BJ101" s="167">
        <v>3.3000000000000002E-2</v>
      </c>
      <c r="BK101" s="158"/>
      <c r="BL101" s="158"/>
      <c r="BN101" s="241" t="s">
        <v>285</v>
      </c>
      <c r="BO101" s="158">
        <v>27</v>
      </c>
      <c r="BP101" s="206">
        <v>6.0000000000000001E-3</v>
      </c>
      <c r="BQ101" s="179">
        <v>2.1000000000000001E-2</v>
      </c>
      <c r="BR101" s="163">
        <v>2.9000000000000001E-2</v>
      </c>
      <c r="BS101" s="166">
        <v>3.5000000000000003E-2</v>
      </c>
      <c r="BT101" s="207">
        <v>4.1000000000000002E-2</v>
      </c>
      <c r="BU101" s="181">
        <v>4.2000000000000003E-2</v>
      </c>
      <c r="BV101" s="170">
        <v>0.04</v>
      </c>
      <c r="BW101" s="208">
        <v>3.6999999999999998E-2</v>
      </c>
      <c r="BX101" s="161">
        <v>3.5999999999999997E-2</v>
      </c>
      <c r="BY101" s="165">
        <v>3.4000000000000002E-2</v>
      </c>
      <c r="BZ101" s="167">
        <v>3.3000000000000002E-2</v>
      </c>
      <c r="CA101" s="158"/>
      <c r="CB101" s="158"/>
      <c r="CD101" s="241" t="s">
        <v>285</v>
      </c>
      <c r="CE101" s="158">
        <v>27</v>
      </c>
      <c r="CF101" s="158"/>
      <c r="CG101" s="206">
        <v>6.0000000000000001E-3</v>
      </c>
      <c r="CH101" s="179">
        <v>2.1000000000000001E-2</v>
      </c>
      <c r="CI101" s="163">
        <v>2.9000000000000001E-2</v>
      </c>
      <c r="CJ101" s="166">
        <v>3.5000000000000003E-2</v>
      </c>
      <c r="CK101" s="207">
        <v>4.1000000000000002E-2</v>
      </c>
      <c r="CL101" s="181">
        <v>4.2000000000000003E-2</v>
      </c>
      <c r="CM101" s="170">
        <v>0.04</v>
      </c>
      <c r="CN101" s="208">
        <v>3.6999999999999998E-2</v>
      </c>
      <c r="CO101" s="161">
        <v>3.5999999999999997E-2</v>
      </c>
      <c r="CP101" s="165">
        <v>3.4000000000000002E-2</v>
      </c>
      <c r="CQ101" s="167">
        <v>3.3000000000000002E-2</v>
      </c>
      <c r="CR101" s="158"/>
      <c r="CS101" s="158"/>
      <c r="CU101" s="241" t="s">
        <v>285</v>
      </c>
      <c r="CV101" s="158">
        <v>27</v>
      </c>
      <c r="CW101" s="206">
        <v>6.0000000000000001E-3</v>
      </c>
      <c r="CX101" s="179">
        <v>2.1000000000000001E-2</v>
      </c>
      <c r="CY101" s="163">
        <v>2.9000000000000001E-2</v>
      </c>
      <c r="CZ101" s="166">
        <v>3.5000000000000003E-2</v>
      </c>
      <c r="DA101" s="207">
        <v>4.1000000000000002E-2</v>
      </c>
      <c r="DB101" s="181">
        <v>4.2000000000000003E-2</v>
      </c>
      <c r="DC101" s="170">
        <v>0.04</v>
      </c>
      <c r="DD101" s="208">
        <v>3.6999999999999998E-2</v>
      </c>
      <c r="DE101" s="161">
        <v>3.5999999999999997E-2</v>
      </c>
      <c r="DF101" s="165">
        <v>3.4000000000000002E-2</v>
      </c>
      <c r="DG101" s="167">
        <v>3.3000000000000002E-2</v>
      </c>
      <c r="DH101" s="158"/>
      <c r="DI101" s="158"/>
    </row>
    <row r="102" spans="1:113" x14ac:dyDescent="0.2">
      <c r="A102" s="363"/>
      <c r="B102" s="241" t="s">
        <v>286</v>
      </c>
      <c r="C102" s="169">
        <v>27.5</v>
      </c>
      <c r="D102" s="177">
        <v>6.0000000000000001E-3</v>
      </c>
      <c r="E102" s="198">
        <v>0.02</v>
      </c>
      <c r="F102" s="209">
        <v>3.2000000000000001E-2</v>
      </c>
      <c r="G102" s="182">
        <v>0.04</v>
      </c>
      <c r="H102" s="172">
        <v>4.2999999999999997E-2</v>
      </c>
      <c r="I102" s="210">
        <v>4.2999999999999997E-2</v>
      </c>
      <c r="J102" s="211">
        <v>4.1000000000000002E-2</v>
      </c>
      <c r="K102" s="201">
        <v>3.7999999999999999E-2</v>
      </c>
      <c r="L102" s="174">
        <v>3.6999999999999998E-2</v>
      </c>
      <c r="M102" s="166">
        <v>3.5000000000000003E-2</v>
      </c>
      <c r="N102" s="158"/>
      <c r="O102" s="158"/>
      <c r="P102" s="158"/>
      <c r="R102" s="241" t="s">
        <v>286</v>
      </c>
      <c r="S102" s="169">
        <v>27.5</v>
      </c>
      <c r="T102" s="177">
        <v>6.0000000000000001E-3</v>
      </c>
      <c r="U102" s="198">
        <v>0.02</v>
      </c>
      <c r="V102" s="209">
        <v>3.2000000000000001E-2</v>
      </c>
      <c r="W102" s="182">
        <v>0.04</v>
      </c>
      <c r="X102" s="172">
        <v>4.2999999999999997E-2</v>
      </c>
      <c r="Y102" s="210">
        <v>4.2999999999999997E-2</v>
      </c>
      <c r="Z102" s="211">
        <v>4.1000000000000002E-2</v>
      </c>
      <c r="AA102" s="201">
        <v>3.7999999999999999E-2</v>
      </c>
      <c r="AB102" s="174">
        <v>3.6999999999999998E-2</v>
      </c>
      <c r="AC102" s="166">
        <v>3.5000000000000003E-2</v>
      </c>
      <c r="AD102" s="158"/>
      <c r="AE102" s="158"/>
      <c r="AF102" s="158"/>
      <c r="AH102" s="241" t="s">
        <v>286</v>
      </c>
      <c r="AI102" s="169">
        <v>27.5</v>
      </c>
      <c r="AJ102" s="177">
        <v>6.0000000000000001E-3</v>
      </c>
      <c r="AK102" s="198">
        <v>0.02</v>
      </c>
      <c r="AL102" s="209">
        <v>3.2000000000000001E-2</v>
      </c>
      <c r="AM102" s="182">
        <v>0.04</v>
      </c>
      <c r="AN102" s="172">
        <v>4.2999999999999997E-2</v>
      </c>
      <c r="AO102" s="210">
        <v>4.2999999999999997E-2</v>
      </c>
      <c r="AP102" s="211">
        <v>4.1000000000000002E-2</v>
      </c>
      <c r="AQ102" s="201">
        <v>3.7999999999999999E-2</v>
      </c>
      <c r="AR102" s="174">
        <v>3.6999999999999998E-2</v>
      </c>
      <c r="AS102" s="166">
        <v>3.5000000000000003E-2</v>
      </c>
      <c r="AT102" s="158"/>
      <c r="AU102" s="158"/>
      <c r="AV102" s="158"/>
      <c r="AX102" s="241" t="s">
        <v>286</v>
      </c>
      <c r="AY102" s="169">
        <v>27.5</v>
      </c>
      <c r="AZ102" s="177">
        <v>6.0000000000000001E-3</v>
      </c>
      <c r="BA102" s="198">
        <v>0.02</v>
      </c>
      <c r="BB102" s="209">
        <v>3.2000000000000001E-2</v>
      </c>
      <c r="BC102" s="182">
        <v>0.04</v>
      </c>
      <c r="BD102" s="172">
        <v>4.2999999999999997E-2</v>
      </c>
      <c r="BE102" s="210">
        <v>4.2999999999999997E-2</v>
      </c>
      <c r="BF102" s="211">
        <v>4.1000000000000002E-2</v>
      </c>
      <c r="BG102" s="201">
        <v>3.7999999999999999E-2</v>
      </c>
      <c r="BH102" s="174">
        <v>3.6999999999999998E-2</v>
      </c>
      <c r="BI102" s="166">
        <v>3.5000000000000003E-2</v>
      </c>
      <c r="BJ102" s="158"/>
      <c r="BK102" s="158"/>
      <c r="BL102" s="158"/>
      <c r="BN102" s="241" t="s">
        <v>286</v>
      </c>
      <c r="BO102" s="169">
        <v>27.5</v>
      </c>
      <c r="BP102" s="177">
        <v>6.0000000000000001E-3</v>
      </c>
      <c r="BQ102" s="198">
        <v>0.02</v>
      </c>
      <c r="BR102" s="209">
        <v>3.2000000000000001E-2</v>
      </c>
      <c r="BS102" s="182">
        <v>0.04</v>
      </c>
      <c r="BT102" s="172">
        <v>4.2999999999999997E-2</v>
      </c>
      <c r="BU102" s="210">
        <v>4.2999999999999997E-2</v>
      </c>
      <c r="BV102" s="211">
        <v>4.1000000000000002E-2</v>
      </c>
      <c r="BW102" s="201">
        <v>3.7999999999999999E-2</v>
      </c>
      <c r="BX102" s="174">
        <v>3.6999999999999998E-2</v>
      </c>
      <c r="BY102" s="166">
        <v>3.5000000000000003E-2</v>
      </c>
      <c r="BZ102" s="158"/>
      <c r="CA102" s="158"/>
      <c r="CB102" s="158"/>
      <c r="CD102" s="241" t="s">
        <v>286</v>
      </c>
      <c r="CE102" s="169">
        <v>27.5</v>
      </c>
      <c r="CF102" s="169"/>
      <c r="CG102" s="177">
        <v>6.0000000000000001E-3</v>
      </c>
      <c r="CH102" s="198">
        <v>0.02</v>
      </c>
      <c r="CI102" s="209">
        <v>3.2000000000000001E-2</v>
      </c>
      <c r="CJ102" s="182">
        <v>0.04</v>
      </c>
      <c r="CK102" s="172">
        <v>4.2999999999999997E-2</v>
      </c>
      <c r="CL102" s="210">
        <v>4.2999999999999997E-2</v>
      </c>
      <c r="CM102" s="211">
        <v>4.1000000000000002E-2</v>
      </c>
      <c r="CN102" s="201">
        <v>3.7999999999999999E-2</v>
      </c>
      <c r="CO102" s="174">
        <v>3.6999999999999998E-2</v>
      </c>
      <c r="CP102" s="166">
        <v>3.5000000000000003E-2</v>
      </c>
      <c r="CQ102" s="158"/>
      <c r="CR102" s="158"/>
      <c r="CS102" s="158"/>
      <c r="CU102" s="241" t="s">
        <v>286</v>
      </c>
      <c r="CV102" s="169">
        <v>27.5</v>
      </c>
      <c r="CW102" s="177">
        <v>6.0000000000000001E-3</v>
      </c>
      <c r="CX102" s="198">
        <v>0.02</v>
      </c>
      <c r="CY102" s="209">
        <v>3.2000000000000001E-2</v>
      </c>
      <c r="CZ102" s="182">
        <v>0.04</v>
      </c>
      <c r="DA102" s="172">
        <v>4.2999999999999997E-2</v>
      </c>
      <c r="DB102" s="210">
        <v>4.2999999999999997E-2</v>
      </c>
      <c r="DC102" s="211">
        <v>4.1000000000000002E-2</v>
      </c>
      <c r="DD102" s="201">
        <v>3.7999999999999999E-2</v>
      </c>
      <c r="DE102" s="174">
        <v>3.6999999999999998E-2</v>
      </c>
      <c r="DF102" s="166">
        <v>3.5000000000000003E-2</v>
      </c>
      <c r="DG102" s="158"/>
      <c r="DH102" s="158"/>
      <c r="DI102" s="158"/>
    </row>
    <row r="103" spans="1:113" x14ac:dyDescent="0.2">
      <c r="A103" s="363"/>
      <c r="B103" s="241" t="s">
        <v>287</v>
      </c>
      <c r="C103" s="169">
        <v>31.8</v>
      </c>
      <c r="D103" s="188">
        <v>7.0000000000000001E-3</v>
      </c>
      <c r="E103" s="212">
        <v>2.3E-2</v>
      </c>
      <c r="F103" s="190">
        <v>3.3000000000000002E-2</v>
      </c>
      <c r="G103" s="184">
        <v>3.9E-2</v>
      </c>
      <c r="H103" s="213">
        <v>4.3999999999999997E-2</v>
      </c>
      <c r="I103" s="210">
        <v>4.2999999999999997E-2</v>
      </c>
      <c r="J103" s="214">
        <v>4.2000000000000003E-2</v>
      </c>
      <c r="K103" s="173">
        <v>3.9E-2</v>
      </c>
      <c r="L103" s="174">
        <v>3.6999999999999998E-2</v>
      </c>
      <c r="M103" s="158"/>
      <c r="N103" s="158"/>
      <c r="O103" s="158"/>
      <c r="P103" s="158"/>
      <c r="R103" s="241" t="s">
        <v>287</v>
      </c>
      <c r="S103" s="169">
        <v>31.8</v>
      </c>
      <c r="T103" s="188">
        <v>7.0000000000000001E-3</v>
      </c>
      <c r="U103" s="212">
        <v>2.3E-2</v>
      </c>
      <c r="V103" s="190">
        <v>3.3000000000000002E-2</v>
      </c>
      <c r="W103" s="184">
        <v>3.9E-2</v>
      </c>
      <c r="X103" s="213">
        <v>4.3999999999999997E-2</v>
      </c>
      <c r="Y103" s="210">
        <v>4.2999999999999997E-2</v>
      </c>
      <c r="Z103" s="214">
        <v>4.2000000000000003E-2</v>
      </c>
      <c r="AA103" s="173">
        <v>3.9E-2</v>
      </c>
      <c r="AB103" s="174">
        <v>3.6999999999999998E-2</v>
      </c>
      <c r="AC103" s="158"/>
      <c r="AD103" s="158"/>
      <c r="AE103" s="158"/>
      <c r="AF103" s="158"/>
      <c r="AH103" s="241" t="s">
        <v>287</v>
      </c>
      <c r="AI103" s="169">
        <v>31.8</v>
      </c>
      <c r="AJ103" s="188">
        <v>7.0000000000000001E-3</v>
      </c>
      <c r="AK103" s="212">
        <v>2.3E-2</v>
      </c>
      <c r="AL103" s="190">
        <v>3.3000000000000002E-2</v>
      </c>
      <c r="AM103" s="184">
        <v>3.9E-2</v>
      </c>
      <c r="AN103" s="213">
        <v>4.3999999999999997E-2</v>
      </c>
      <c r="AO103" s="210">
        <v>4.2999999999999997E-2</v>
      </c>
      <c r="AP103" s="214">
        <v>4.2000000000000003E-2</v>
      </c>
      <c r="AQ103" s="173">
        <v>3.9E-2</v>
      </c>
      <c r="AR103" s="174">
        <v>3.6999999999999998E-2</v>
      </c>
      <c r="AS103" s="158"/>
      <c r="AT103" s="158"/>
      <c r="AU103" s="158"/>
      <c r="AV103" s="158"/>
      <c r="AX103" s="241" t="s">
        <v>287</v>
      </c>
      <c r="AY103" s="169">
        <v>31.8</v>
      </c>
      <c r="AZ103" s="188">
        <v>7.0000000000000001E-3</v>
      </c>
      <c r="BA103" s="212">
        <v>2.3E-2</v>
      </c>
      <c r="BB103" s="190">
        <v>3.3000000000000002E-2</v>
      </c>
      <c r="BC103" s="184">
        <v>3.9E-2</v>
      </c>
      <c r="BD103" s="213">
        <v>4.3999999999999997E-2</v>
      </c>
      <c r="BE103" s="210">
        <v>4.2999999999999997E-2</v>
      </c>
      <c r="BF103" s="214">
        <v>4.2000000000000003E-2</v>
      </c>
      <c r="BG103" s="173">
        <v>3.9E-2</v>
      </c>
      <c r="BH103" s="174">
        <v>3.6999999999999998E-2</v>
      </c>
      <c r="BI103" s="158"/>
      <c r="BJ103" s="158"/>
      <c r="BK103" s="158"/>
      <c r="BL103" s="158"/>
      <c r="BN103" s="241" t="s">
        <v>287</v>
      </c>
      <c r="BO103" s="169">
        <v>31.8</v>
      </c>
      <c r="BP103" s="188">
        <v>7.0000000000000001E-3</v>
      </c>
      <c r="BQ103" s="212">
        <v>2.3E-2</v>
      </c>
      <c r="BR103" s="190">
        <v>3.3000000000000002E-2</v>
      </c>
      <c r="BS103" s="184">
        <v>3.9E-2</v>
      </c>
      <c r="BT103" s="213">
        <v>4.3999999999999997E-2</v>
      </c>
      <c r="BU103" s="210">
        <v>4.2999999999999997E-2</v>
      </c>
      <c r="BV103" s="214">
        <v>4.2000000000000003E-2</v>
      </c>
      <c r="BW103" s="173">
        <v>3.9E-2</v>
      </c>
      <c r="BX103" s="174">
        <v>3.6999999999999998E-2</v>
      </c>
      <c r="BY103" s="158"/>
      <c r="BZ103" s="158"/>
      <c r="CA103" s="158"/>
      <c r="CB103" s="158"/>
      <c r="CD103" s="241" t="s">
        <v>287</v>
      </c>
      <c r="CE103" s="169">
        <v>31.8</v>
      </c>
      <c r="CF103" s="169"/>
      <c r="CG103" s="188">
        <v>7.0000000000000001E-3</v>
      </c>
      <c r="CH103" s="212">
        <v>2.3E-2</v>
      </c>
      <c r="CI103" s="190">
        <v>3.3000000000000002E-2</v>
      </c>
      <c r="CJ103" s="184">
        <v>3.9E-2</v>
      </c>
      <c r="CK103" s="213">
        <v>4.3999999999999997E-2</v>
      </c>
      <c r="CL103" s="210">
        <v>4.2999999999999997E-2</v>
      </c>
      <c r="CM103" s="214">
        <v>4.2000000000000003E-2</v>
      </c>
      <c r="CN103" s="173">
        <v>3.9E-2</v>
      </c>
      <c r="CO103" s="174">
        <v>3.6999999999999998E-2</v>
      </c>
      <c r="CP103" s="158"/>
      <c r="CQ103" s="158"/>
      <c r="CR103" s="158"/>
      <c r="CS103" s="158"/>
      <c r="CU103" s="241" t="s">
        <v>287</v>
      </c>
      <c r="CV103" s="169">
        <v>31.8</v>
      </c>
      <c r="CW103" s="188">
        <v>7.0000000000000001E-3</v>
      </c>
      <c r="CX103" s="212">
        <v>2.3E-2</v>
      </c>
      <c r="CY103" s="190">
        <v>3.3000000000000002E-2</v>
      </c>
      <c r="CZ103" s="184">
        <v>3.9E-2</v>
      </c>
      <c r="DA103" s="213">
        <v>4.3999999999999997E-2</v>
      </c>
      <c r="DB103" s="210">
        <v>4.2999999999999997E-2</v>
      </c>
      <c r="DC103" s="214">
        <v>4.2000000000000003E-2</v>
      </c>
      <c r="DD103" s="173">
        <v>3.9E-2</v>
      </c>
      <c r="DE103" s="174">
        <v>3.6999999999999998E-2</v>
      </c>
      <c r="DF103" s="158"/>
      <c r="DG103" s="158"/>
      <c r="DH103" s="158"/>
      <c r="DI103" s="158"/>
    </row>
    <row r="104" spans="1:113" x14ac:dyDescent="0.2">
      <c r="A104" s="363"/>
      <c r="B104" s="241" t="s">
        <v>288</v>
      </c>
      <c r="C104" s="169">
        <v>32.799999999999997</v>
      </c>
      <c r="D104" s="215">
        <v>8.9999999999999993E-3</v>
      </c>
      <c r="E104" s="216">
        <v>2.7E-2</v>
      </c>
      <c r="F104" s="193">
        <v>3.5999999999999997E-2</v>
      </c>
      <c r="G104" s="213">
        <v>4.3999999999999997E-2</v>
      </c>
      <c r="H104" s="217">
        <v>4.8000000000000001E-2</v>
      </c>
      <c r="I104" s="218">
        <v>4.9000000000000002E-2</v>
      </c>
      <c r="J104" s="171">
        <v>4.7E-2</v>
      </c>
      <c r="K104" s="213">
        <v>4.3999999999999997E-2</v>
      </c>
      <c r="L104" s="158"/>
      <c r="M104" s="158"/>
      <c r="N104" s="158"/>
      <c r="O104" s="158"/>
      <c r="P104" s="158"/>
      <c r="R104" s="241" t="s">
        <v>288</v>
      </c>
      <c r="S104" s="169">
        <v>32.799999999999997</v>
      </c>
      <c r="T104" s="215">
        <v>8.9999999999999993E-3</v>
      </c>
      <c r="U104" s="216">
        <v>2.7E-2</v>
      </c>
      <c r="V104" s="193">
        <v>3.5999999999999997E-2</v>
      </c>
      <c r="W104" s="213">
        <v>4.3999999999999997E-2</v>
      </c>
      <c r="X104" s="217">
        <v>4.8000000000000001E-2</v>
      </c>
      <c r="Y104" s="218">
        <v>4.9000000000000002E-2</v>
      </c>
      <c r="Z104" s="171">
        <v>4.7E-2</v>
      </c>
      <c r="AA104" s="213">
        <v>4.3999999999999997E-2</v>
      </c>
      <c r="AB104" s="158"/>
      <c r="AC104" s="158"/>
      <c r="AD104" s="158"/>
      <c r="AE104" s="158"/>
      <c r="AF104" s="158"/>
      <c r="AH104" s="241" t="s">
        <v>288</v>
      </c>
      <c r="AI104" s="169">
        <v>32.799999999999997</v>
      </c>
      <c r="AJ104" s="215">
        <v>8.9999999999999993E-3</v>
      </c>
      <c r="AK104" s="216">
        <v>2.7E-2</v>
      </c>
      <c r="AL104" s="193">
        <v>3.5999999999999997E-2</v>
      </c>
      <c r="AM104" s="213">
        <v>4.3999999999999997E-2</v>
      </c>
      <c r="AN104" s="217">
        <v>4.8000000000000001E-2</v>
      </c>
      <c r="AO104" s="218">
        <v>4.9000000000000002E-2</v>
      </c>
      <c r="AP104" s="171">
        <v>4.7E-2</v>
      </c>
      <c r="AQ104" s="213">
        <v>4.3999999999999997E-2</v>
      </c>
      <c r="AR104" s="158"/>
      <c r="AS104" s="158"/>
      <c r="AT104" s="158"/>
      <c r="AU104" s="158"/>
      <c r="AV104" s="158"/>
      <c r="AX104" s="241" t="s">
        <v>288</v>
      </c>
      <c r="AY104" s="169">
        <v>32.799999999999997</v>
      </c>
      <c r="AZ104" s="215">
        <v>8.9999999999999993E-3</v>
      </c>
      <c r="BA104" s="216">
        <v>2.7E-2</v>
      </c>
      <c r="BB104" s="193">
        <v>3.5999999999999997E-2</v>
      </c>
      <c r="BC104" s="213">
        <v>4.3999999999999997E-2</v>
      </c>
      <c r="BD104" s="217">
        <v>4.8000000000000001E-2</v>
      </c>
      <c r="BE104" s="218">
        <v>4.9000000000000002E-2</v>
      </c>
      <c r="BF104" s="171">
        <v>4.7E-2</v>
      </c>
      <c r="BG104" s="213">
        <v>4.3999999999999997E-2</v>
      </c>
      <c r="BH104" s="158"/>
      <c r="BI104" s="158"/>
      <c r="BJ104" s="158"/>
      <c r="BK104" s="158"/>
      <c r="BL104" s="158"/>
      <c r="BN104" s="241" t="s">
        <v>288</v>
      </c>
      <c r="BO104" s="169">
        <v>32.799999999999997</v>
      </c>
      <c r="BP104" s="215">
        <v>8.9999999999999993E-3</v>
      </c>
      <c r="BQ104" s="216">
        <v>2.7E-2</v>
      </c>
      <c r="BR104" s="193">
        <v>3.5999999999999997E-2</v>
      </c>
      <c r="BS104" s="213">
        <v>4.3999999999999997E-2</v>
      </c>
      <c r="BT104" s="217">
        <v>4.8000000000000001E-2</v>
      </c>
      <c r="BU104" s="218">
        <v>4.9000000000000002E-2</v>
      </c>
      <c r="BV104" s="171">
        <v>4.7E-2</v>
      </c>
      <c r="BW104" s="213">
        <v>4.3999999999999997E-2</v>
      </c>
      <c r="BX104" s="158"/>
      <c r="BY104" s="158"/>
      <c r="BZ104" s="158"/>
      <c r="CA104" s="158"/>
      <c r="CB104" s="158"/>
      <c r="CD104" s="241" t="s">
        <v>288</v>
      </c>
      <c r="CE104" s="169">
        <v>32.799999999999997</v>
      </c>
      <c r="CF104" s="169"/>
      <c r="CG104" s="215">
        <v>8.9999999999999993E-3</v>
      </c>
      <c r="CH104" s="216">
        <v>2.7E-2</v>
      </c>
      <c r="CI104" s="193">
        <v>3.5999999999999997E-2</v>
      </c>
      <c r="CJ104" s="213">
        <v>4.3999999999999997E-2</v>
      </c>
      <c r="CK104" s="217">
        <v>4.8000000000000001E-2</v>
      </c>
      <c r="CL104" s="218">
        <v>4.9000000000000002E-2</v>
      </c>
      <c r="CM104" s="171">
        <v>4.7E-2</v>
      </c>
      <c r="CN104" s="213">
        <v>4.3999999999999997E-2</v>
      </c>
      <c r="CO104" s="158"/>
      <c r="CP104" s="158"/>
      <c r="CQ104" s="158"/>
      <c r="CR104" s="158"/>
      <c r="CS104" s="158"/>
      <c r="CU104" s="241" t="s">
        <v>288</v>
      </c>
      <c r="CV104" s="169">
        <v>32.799999999999997</v>
      </c>
      <c r="CW104" s="215">
        <v>8.9999999999999993E-3</v>
      </c>
      <c r="CX104" s="216">
        <v>2.7E-2</v>
      </c>
      <c r="CY104" s="193">
        <v>3.5999999999999997E-2</v>
      </c>
      <c r="CZ104" s="213">
        <v>4.3999999999999997E-2</v>
      </c>
      <c r="DA104" s="217">
        <v>4.8000000000000001E-2</v>
      </c>
      <c r="DB104" s="218">
        <v>4.9000000000000002E-2</v>
      </c>
      <c r="DC104" s="171">
        <v>4.7E-2</v>
      </c>
      <c r="DD104" s="213">
        <v>4.3999999999999997E-2</v>
      </c>
      <c r="DE104" s="158"/>
      <c r="DF104" s="158"/>
      <c r="DG104" s="158"/>
      <c r="DH104" s="158"/>
      <c r="DI104" s="158"/>
    </row>
    <row r="105" spans="1:113" x14ac:dyDescent="0.2">
      <c r="A105" s="363"/>
      <c r="B105" s="241" t="s">
        <v>289</v>
      </c>
      <c r="C105" s="169">
        <v>32.6</v>
      </c>
      <c r="D105" s="183">
        <v>8.0000000000000002E-3</v>
      </c>
      <c r="E105" s="178">
        <v>2.4E-2</v>
      </c>
      <c r="F105" s="189">
        <v>3.5000000000000003E-2</v>
      </c>
      <c r="G105" s="180">
        <v>4.2999999999999997E-2</v>
      </c>
      <c r="H105" s="219">
        <v>4.7E-2</v>
      </c>
      <c r="I105" s="220">
        <v>4.8000000000000001E-2</v>
      </c>
      <c r="J105" s="221">
        <v>4.5999999999999999E-2</v>
      </c>
      <c r="K105" s="158"/>
      <c r="L105" s="158"/>
      <c r="M105" s="158"/>
      <c r="N105" s="158"/>
      <c r="O105" s="158"/>
      <c r="P105" s="158"/>
      <c r="R105" s="241" t="s">
        <v>289</v>
      </c>
      <c r="S105" s="169">
        <v>32.6</v>
      </c>
      <c r="T105" s="183">
        <v>8.0000000000000002E-3</v>
      </c>
      <c r="U105" s="178">
        <v>2.4E-2</v>
      </c>
      <c r="V105" s="189">
        <v>3.5000000000000003E-2</v>
      </c>
      <c r="W105" s="180">
        <v>4.2999999999999997E-2</v>
      </c>
      <c r="X105" s="219">
        <v>4.7E-2</v>
      </c>
      <c r="Y105" s="220">
        <v>4.8000000000000001E-2</v>
      </c>
      <c r="Z105" s="221">
        <v>4.5999999999999999E-2</v>
      </c>
      <c r="AA105" s="158"/>
      <c r="AB105" s="158"/>
      <c r="AC105" s="158"/>
      <c r="AD105" s="158"/>
      <c r="AE105" s="158"/>
      <c r="AF105" s="158"/>
      <c r="AH105" s="241" t="s">
        <v>289</v>
      </c>
      <c r="AI105" s="169">
        <v>32.6</v>
      </c>
      <c r="AJ105" s="183">
        <v>8.0000000000000002E-3</v>
      </c>
      <c r="AK105" s="178">
        <v>2.4E-2</v>
      </c>
      <c r="AL105" s="189">
        <v>3.5000000000000003E-2</v>
      </c>
      <c r="AM105" s="180">
        <v>4.2999999999999997E-2</v>
      </c>
      <c r="AN105" s="219">
        <v>4.7E-2</v>
      </c>
      <c r="AO105" s="220">
        <v>4.8000000000000001E-2</v>
      </c>
      <c r="AP105" s="221">
        <v>4.5999999999999999E-2</v>
      </c>
      <c r="AQ105" s="158"/>
      <c r="AR105" s="158"/>
      <c r="AS105" s="158"/>
      <c r="AT105" s="158"/>
      <c r="AU105" s="158"/>
      <c r="AV105" s="158"/>
      <c r="AX105" s="241" t="s">
        <v>289</v>
      </c>
      <c r="AY105" s="169">
        <v>32.6</v>
      </c>
      <c r="AZ105" s="183">
        <v>8.0000000000000002E-3</v>
      </c>
      <c r="BA105" s="178">
        <v>2.4E-2</v>
      </c>
      <c r="BB105" s="189">
        <v>3.5000000000000003E-2</v>
      </c>
      <c r="BC105" s="180">
        <v>4.2999999999999997E-2</v>
      </c>
      <c r="BD105" s="219">
        <v>4.7E-2</v>
      </c>
      <c r="BE105" s="220">
        <v>4.8000000000000001E-2</v>
      </c>
      <c r="BF105" s="221">
        <v>4.5999999999999999E-2</v>
      </c>
      <c r="BG105" s="158"/>
      <c r="BH105" s="158"/>
      <c r="BI105" s="158"/>
      <c r="BJ105" s="158"/>
      <c r="BK105" s="158"/>
      <c r="BL105" s="158"/>
      <c r="BN105" s="241" t="s">
        <v>289</v>
      </c>
      <c r="BO105" s="169">
        <v>32.6</v>
      </c>
      <c r="BP105" s="183">
        <v>8.0000000000000002E-3</v>
      </c>
      <c r="BQ105" s="178">
        <v>2.4E-2</v>
      </c>
      <c r="BR105" s="189">
        <v>3.5000000000000003E-2</v>
      </c>
      <c r="BS105" s="180">
        <v>4.2999999999999997E-2</v>
      </c>
      <c r="BT105" s="219">
        <v>4.7E-2</v>
      </c>
      <c r="BU105" s="220">
        <v>4.8000000000000001E-2</v>
      </c>
      <c r="BV105" s="221">
        <v>4.5999999999999999E-2</v>
      </c>
      <c r="BW105" s="158"/>
      <c r="BX105" s="158"/>
      <c r="BY105" s="158"/>
      <c r="BZ105" s="158"/>
      <c r="CA105" s="158"/>
      <c r="CB105" s="158"/>
      <c r="CD105" s="241" t="s">
        <v>289</v>
      </c>
      <c r="CE105" s="169">
        <v>32.6</v>
      </c>
      <c r="CF105" s="169"/>
      <c r="CG105" s="183">
        <v>8.0000000000000002E-3</v>
      </c>
      <c r="CH105" s="178">
        <v>2.4E-2</v>
      </c>
      <c r="CI105" s="189">
        <v>3.5000000000000003E-2</v>
      </c>
      <c r="CJ105" s="180">
        <v>4.2999999999999997E-2</v>
      </c>
      <c r="CK105" s="219">
        <v>4.7E-2</v>
      </c>
      <c r="CL105" s="220">
        <v>4.8000000000000001E-2</v>
      </c>
      <c r="CM105" s="221">
        <v>4.5999999999999999E-2</v>
      </c>
      <c r="CN105" s="158"/>
      <c r="CO105" s="158"/>
      <c r="CP105" s="158"/>
      <c r="CQ105" s="158"/>
      <c r="CR105" s="158"/>
      <c r="CS105" s="158"/>
      <c r="CU105" s="241" t="s">
        <v>289</v>
      </c>
      <c r="CV105" s="169">
        <v>32.6</v>
      </c>
      <c r="CW105" s="183">
        <v>8.0000000000000002E-3</v>
      </c>
      <c r="CX105" s="178">
        <v>2.4E-2</v>
      </c>
      <c r="CY105" s="189">
        <v>3.5000000000000003E-2</v>
      </c>
      <c r="CZ105" s="180">
        <v>4.2999999999999997E-2</v>
      </c>
      <c r="DA105" s="219">
        <v>4.7E-2</v>
      </c>
      <c r="DB105" s="220">
        <v>4.8000000000000001E-2</v>
      </c>
      <c r="DC105" s="221">
        <v>4.5999999999999999E-2</v>
      </c>
      <c r="DD105" s="158"/>
      <c r="DE105" s="158"/>
      <c r="DF105" s="158"/>
      <c r="DG105" s="158"/>
      <c r="DH105" s="158"/>
      <c r="DI105" s="158"/>
    </row>
    <row r="106" spans="1:113" x14ac:dyDescent="0.2">
      <c r="A106" s="363"/>
      <c r="B106" s="241" t="s">
        <v>259</v>
      </c>
      <c r="C106" s="169">
        <v>37.9</v>
      </c>
      <c r="D106" s="176">
        <v>7.0000000000000001E-3</v>
      </c>
      <c r="E106" s="222">
        <v>2.4E-2</v>
      </c>
      <c r="F106" s="223">
        <v>3.6999999999999998E-2</v>
      </c>
      <c r="G106" s="217">
        <v>4.8000000000000001E-2</v>
      </c>
      <c r="H106" s="224">
        <v>5.3999999999999999E-2</v>
      </c>
      <c r="I106" s="225">
        <v>5.2999999999999999E-2</v>
      </c>
      <c r="J106" s="158"/>
      <c r="K106" s="158"/>
      <c r="L106" s="158"/>
      <c r="M106" s="158"/>
      <c r="N106" s="158"/>
      <c r="O106" s="158"/>
      <c r="P106" s="158"/>
      <c r="R106" s="241" t="s">
        <v>259</v>
      </c>
      <c r="S106" s="169">
        <v>37.9</v>
      </c>
      <c r="T106" s="176">
        <v>7.0000000000000001E-3</v>
      </c>
      <c r="U106" s="222">
        <v>2.4E-2</v>
      </c>
      <c r="V106" s="223">
        <v>3.6999999999999998E-2</v>
      </c>
      <c r="W106" s="217">
        <v>4.8000000000000001E-2</v>
      </c>
      <c r="X106" s="224">
        <v>5.3999999999999999E-2</v>
      </c>
      <c r="Y106" s="225">
        <v>5.2999999999999999E-2</v>
      </c>
      <c r="Z106" s="158"/>
      <c r="AA106" s="158"/>
      <c r="AB106" s="158"/>
      <c r="AC106" s="158"/>
      <c r="AD106" s="158"/>
      <c r="AE106" s="158"/>
      <c r="AF106" s="158"/>
      <c r="AH106" s="241" t="s">
        <v>259</v>
      </c>
      <c r="AI106" s="169">
        <v>37.9</v>
      </c>
      <c r="AJ106" s="176">
        <v>7.0000000000000001E-3</v>
      </c>
      <c r="AK106" s="222">
        <v>2.4E-2</v>
      </c>
      <c r="AL106" s="223">
        <v>3.6999999999999998E-2</v>
      </c>
      <c r="AM106" s="217">
        <v>4.8000000000000001E-2</v>
      </c>
      <c r="AN106" s="224">
        <v>5.3999999999999999E-2</v>
      </c>
      <c r="AO106" s="225">
        <v>5.2999999999999999E-2</v>
      </c>
      <c r="AP106" s="158"/>
      <c r="AQ106" s="158"/>
      <c r="AR106" s="158"/>
      <c r="AS106" s="158"/>
      <c r="AT106" s="158"/>
      <c r="AU106" s="158"/>
      <c r="AV106" s="158"/>
      <c r="AX106" s="241" t="s">
        <v>259</v>
      </c>
      <c r="AY106" s="169">
        <v>37.9</v>
      </c>
      <c r="AZ106" s="176">
        <v>7.0000000000000001E-3</v>
      </c>
      <c r="BA106" s="222">
        <v>2.4E-2</v>
      </c>
      <c r="BB106" s="223">
        <v>3.6999999999999998E-2</v>
      </c>
      <c r="BC106" s="217">
        <v>4.8000000000000001E-2</v>
      </c>
      <c r="BD106" s="224">
        <v>5.3999999999999999E-2</v>
      </c>
      <c r="BE106" s="225">
        <v>5.2999999999999999E-2</v>
      </c>
      <c r="BF106" s="158"/>
      <c r="BG106" s="158"/>
      <c r="BH106" s="158"/>
      <c r="BI106" s="158"/>
      <c r="BJ106" s="158"/>
      <c r="BK106" s="158"/>
      <c r="BL106" s="158"/>
      <c r="BN106" s="241" t="s">
        <v>259</v>
      </c>
      <c r="BO106" s="169">
        <v>37.9</v>
      </c>
      <c r="BP106" s="176">
        <v>7.0000000000000001E-3</v>
      </c>
      <c r="BQ106" s="222">
        <v>2.4E-2</v>
      </c>
      <c r="BR106" s="223">
        <v>3.6999999999999998E-2</v>
      </c>
      <c r="BS106" s="217">
        <v>4.8000000000000001E-2</v>
      </c>
      <c r="BT106" s="224">
        <v>5.3999999999999999E-2</v>
      </c>
      <c r="BU106" s="225">
        <v>5.2999999999999999E-2</v>
      </c>
      <c r="BV106" s="158"/>
      <c r="BW106" s="158"/>
      <c r="BX106" s="158"/>
      <c r="BY106" s="158"/>
      <c r="BZ106" s="158"/>
      <c r="CA106" s="158"/>
      <c r="CB106" s="158"/>
      <c r="CD106" s="241" t="s">
        <v>259</v>
      </c>
      <c r="CE106" s="169">
        <v>37.9</v>
      </c>
      <c r="CF106" s="169"/>
      <c r="CG106" s="176">
        <v>7.0000000000000001E-3</v>
      </c>
      <c r="CH106" s="222">
        <v>2.4E-2</v>
      </c>
      <c r="CI106" s="223">
        <v>3.6999999999999998E-2</v>
      </c>
      <c r="CJ106" s="217">
        <v>4.8000000000000001E-2</v>
      </c>
      <c r="CK106" s="224">
        <v>5.3999999999999999E-2</v>
      </c>
      <c r="CL106" s="225">
        <v>5.2999999999999999E-2</v>
      </c>
      <c r="CM106" s="158"/>
      <c r="CN106" s="158"/>
      <c r="CO106" s="158"/>
      <c r="CP106" s="158"/>
      <c r="CQ106" s="158"/>
      <c r="CR106" s="158"/>
      <c r="CS106" s="158"/>
      <c r="CU106" s="241" t="s">
        <v>259</v>
      </c>
      <c r="CV106" s="169">
        <v>37.9</v>
      </c>
      <c r="CW106" s="176">
        <v>7.0000000000000001E-3</v>
      </c>
      <c r="CX106" s="222">
        <v>2.4E-2</v>
      </c>
      <c r="CY106" s="223">
        <v>3.6999999999999998E-2</v>
      </c>
      <c r="CZ106" s="217">
        <v>4.8000000000000001E-2</v>
      </c>
      <c r="DA106" s="224">
        <v>5.3999999999999999E-2</v>
      </c>
      <c r="DB106" s="225">
        <v>5.2999999999999999E-2</v>
      </c>
      <c r="DC106" s="158"/>
      <c r="DD106" s="158"/>
      <c r="DE106" s="158"/>
      <c r="DF106" s="158"/>
      <c r="DG106" s="158"/>
      <c r="DH106" s="158"/>
      <c r="DI106" s="158"/>
    </row>
    <row r="107" spans="1:113" x14ac:dyDescent="0.2">
      <c r="A107" s="363"/>
      <c r="B107" s="241" t="s">
        <v>260</v>
      </c>
      <c r="C107" s="169">
        <v>51.8</v>
      </c>
      <c r="D107" s="164">
        <v>8.9999999999999993E-3</v>
      </c>
      <c r="E107" s="226">
        <v>2.5000000000000001E-2</v>
      </c>
      <c r="F107" s="160">
        <v>3.5999999999999997E-2</v>
      </c>
      <c r="G107" s="227">
        <v>4.7E-2</v>
      </c>
      <c r="H107" s="228">
        <v>0.05</v>
      </c>
      <c r="I107" s="158"/>
      <c r="J107" s="158"/>
      <c r="K107" s="158"/>
      <c r="L107" s="158"/>
      <c r="M107" s="158"/>
      <c r="N107" s="158"/>
      <c r="O107" s="158"/>
      <c r="P107" s="158"/>
      <c r="R107" s="241" t="s">
        <v>260</v>
      </c>
      <c r="S107" s="169">
        <v>51.8</v>
      </c>
      <c r="T107" s="164">
        <v>8.9999999999999993E-3</v>
      </c>
      <c r="U107" s="226">
        <v>2.5000000000000001E-2</v>
      </c>
      <c r="V107" s="160">
        <v>3.5999999999999997E-2</v>
      </c>
      <c r="W107" s="227">
        <v>4.7E-2</v>
      </c>
      <c r="X107" s="228">
        <v>0.05</v>
      </c>
      <c r="Y107" s="158"/>
      <c r="Z107" s="158"/>
      <c r="AA107" s="158"/>
      <c r="AB107" s="158"/>
      <c r="AC107" s="158"/>
      <c r="AD107" s="158"/>
      <c r="AE107" s="158"/>
      <c r="AF107" s="158"/>
      <c r="AH107" s="241" t="s">
        <v>260</v>
      </c>
      <c r="AI107" s="169">
        <v>51.8</v>
      </c>
      <c r="AJ107" s="164">
        <v>8.9999999999999993E-3</v>
      </c>
      <c r="AK107" s="226">
        <v>2.5000000000000001E-2</v>
      </c>
      <c r="AL107" s="160">
        <v>3.5999999999999997E-2</v>
      </c>
      <c r="AM107" s="227">
        <v>4.7E-2</v>
      </c>
      <c r="AN107" s="228">
        <v>0.05</v>
      </c>
      <c r="AO107" s="158"/>
      <c r="AP107" s="158"/>
      <c r="AQ107" s="158"/>
      <c r="AR107" s="158"/>
      <c r="AS107" s="158"/>
      <c r="AT107" s="158"/>
      <c r="AU107" s="158"/>
      <c r="AV107" s="158"/>
      <c r="AX107" s="241" t="s">
        <v>260</v>
      </c>
      <c r="AY107" s="169">
        <v>51.8</v>
      </c>
      <c r="AZ107" s="164">
        <v>8.9999999999999993E-3</v>
      </c>
      <c r="BA107" s="226">
        <v>2.5000000000000001E-2</v>
      </c>
      <c r="BB107" s="160">
        <v>3.5999999999999997E-2</v>
      </c>
      <c r="BC107" s="227">
        <v>4.7E-2</v>
      </c>
      <c r="BD107" s="228">
        <v>0.05</v>
      </c>
      <c r="BE107" s="158"/>
      <c r="BF107" s="158"/>
      <c r="BG107" s="158"/>
      <c r="BH107" s="158"/>
      <c r="BI107" s="158"/>
      <c r="BJ107" s="158"/>
      <c r="BK107" s="158"/>
      <c r="BL107" s="158"/>
      <c r="BN107" s="241" t="s">
        <v>260</v>
      </c>
      <c r="BO107" s="169">
        <v>51.8</v>
      </c>
      <c r="BP107" s="164">
        <v>8.9999999999999993E-3</v>
      </c>
      <c r="BQ107" s="226">
        <v>2.5000000000000001E-2</v>
      </c>
      <c r="BR107" s="160">
        <v>3.5999999999999997E-2</v>
      </c>
      <c r="BS107" s="227">
        <v>4.7E-2</v>
      </c>
      <c r="BT107" s="228">
        <v>0.05</v>
      </c>
      <c r="BU107" s="158"/>
      <c r="BV107" s="158"/>
      <c r="BW107" s="158"/>
      <c r="BX107" s="158"/>
      <c r="BY107" s="158"/>
      <c r="BZ107" s="158"/>
      <c r="CA107" s="158"/>
      <c r="CB107" s="158"/>
      <c r="CD107" s="241" t="s">
        <v>260</v>
      </c>
      <c r="CE107" s="169">
        <v>51.8</v>
      </c>
      <c r="CF107" s="169"/>
      <c r="CG107" s="164">
        <v>8.9999999999999993E-3</v>
      </c>
      <c r="CH107" s="226">
        <v>2.5000000000000001E-2</v>
      </c>
      <c r="CI107" s="160">
        <v>3.5999999999999997E-2</v>
      </c>
      <c r="CJ107" s="227">
        <v>4.7E-2</v>
      </c>
      <c r="CK107" s="228">
        <v>0.05</v>
      </c>
      <c r="CL107" s="158"/>
      <c r="CM107" s="158"/>
      <c r="CN107" s="158"/>
      <c r="CO107" s="158"/>
      <c r="CP107" s="158"/>
      <c r="CQ107" s="158"/>
      <c r="CR107" s="158"/>
      <c r="CS107" s="158"/>
      <c r="CU107" s="241" t="s">
        <v>260</v>
      </c>
      <c r="CV107" s="169">
        <v>51.8</v>
      </c>
      <c r="CW107" s="164">
        <v>8.9999999999999993E-3</v>
      </c>
      <c r="CX107" s="226">
        <v>2.5000000000000001E-2</v>
      </c>
      <c r="CY107" s="160">
        <v>3.5999999999999997E-2</v>
      </c>
      <c r="CZ107" s="227">
        <v>4.7E-2</v>
      </c>
      <c r="DA107" s="228">
        <v>0.05</v>
      </c>
      <c r="DB107" s="158"/>
      <c r="DC107" s="158"/>
      <c r="DD107" s="158"/>
      <c r="DE107" s="158"/>
      <c r="DF107" s="158"/>
      <c r="DG107" s="158"/>
      <c r="DH107" s="158"/>
      <c r="DI107" s="158"/>
    </row>
    <row r="108" spans="1:113" x14ac:dyDescent="0.2">
      <c r="A108" s="363"/>
      <c r="B108" s="241" t="s">
        <v>261</v>
      </c>
      <c r="C108" s="169">
        <v>51.8</v>
      </c>
      <c r="D108" s="229">
        <v>7.0000000000000001E-3</v>
      </c>
      <c r="E108" s="230">
        <v>2.4E-2</v>
      </c>
      <c r="F108" s="201">
        <v>3.7999999999999999E-2</v>
      </c>
      <c r="G108" s="231">
        <v>4.4999999999999998E-2</v>
      </c>
      <c r="H108" s="158"/>
      <c r="I108" s="158"/>
      <c r="J108" s="158"/>
      <c r="K108" s="158"/>
      <c r="L108" s="158"/>
      <c r="M108" s="158"/>
      <c r="N108" s="158"/>
      <c r="O108" s="158"/>
      <c r="P108" s="158"/>
      <c r="R108" s="241" t="s">
        <v>261</v>
      </c>
      <c r="S108" s="169">
        <v>51.8</v>
      </c>
      <c r="T108" s="229">
        <v>7.0000000000000001E-3</v>
      </c>
      <c r="U108" s="230">
        <v>2.4E-2</v>
      </c>
      <c r="V108" s="201">
        <v>3.7999999999999999E-2</v>
      </c>
      <c r="W108" s="231">
        <v>4.4999999999999998E-2</v>
      </c>
      <c r="X108" s="158"/>
      <c r="Y108" s="158"/>
      <c r="Z108" s="158"/>
      <c r="AA108" s="158"/>
      <c r="AB108" s="158"/>
      <c r="AC108" s="158"/>
      <c r="AD108" s="158"/>
      <c r="AE108" s="158"/>
      <c r="AF108" s="158"/>
      <c r="AH108" s="241" t="s">
        <v>261</v>
      </c>
      <c r="AI108" s="169">
        <v>51.8</v>
      </c>
      <c r="AJ108" s="229">
        <v>7.0000000000000001E-3</v>
      </c>
      <c r="AK108" s="230">
        <v>2.4E-2</v>
      </c>
      <c r="AL108" s="201">
        <v>3.7999999999999999E-2</v>
      </c>
      <c r="AM108" s="231">
        <v>4.4999999999999998E-2</v>
      </c>
      <c r="AN108" s="158"/>
      <c r="AO108" s="158"/>
      <c r="AP108" s="158"/>
      <c r="AQ108" s="158"/>
      <c r="AR108" s="158"/>
      <c r="AS108" s="158"/>
      <c r="AT108" s="158"/>
      <c r="AU108" s="158"/>
      <c r="AV108" s="158"/>
      <c r="AX108" s="241" t="s">
        <v>261</v>
      </c>
      <c r="AY108" s="169">
        <v>51.8</v>
      </c>
      <c r="AZ108" s="229">
        <v>7.0000000000000001E-3</v>
      </c>
      <c r="BA108" s="230">
        <v>2.4E-2</v>
      </c>
      <c r="BB108" s="201">
        <v>3.7999999999999999E-2</v>
      </c>
      <c r="BC108" s="231">
        <v>4.4999999999999998E-2</v>
      </c>
      <c r="BD108" s="158"/>
      <c r="BE108" s="158"/>
      <c r="BF108" s="158"/>
      <c r="BG108" s="158"/>
      <c r="BH108" s="158"/>
      <c r="BI108" s="158"/>
      <c r="BJ108" s="158"/>
      <c r="BK108" s="158"/>
      <c r="BL108" s="158"/>
      <c r="BN108" s="241" t="s">
        <v>261</v>
      </c>
      <c r="BO108" s="169">
        <v>51.8</v>
      </c>
      <c r="BP108" s="229">
        <v>7.0000000000000001E-3</v>
      </c>
      <c r="BQ108" s="230">
        <v>2.4E-2</v>
      </c>
      <c r="BR108" s="201">
        <v>3.7999999999999999E-2</v>
      </c>
      <c r="BS108" s="231">
        <v>4.4999999999999998E-2</v>
      </c>
      <c r="BT108" s="158"/>
      <c r="BU108" s="158"/>
      <c r="BV108" s="158"/>
      <c r="BW108" s="158"/>
      <c r="BX108" s="158"/>
      <c r="BY108" s="158"/>
      <c r="BZ108" s="158"/>
      <c r="CA108" s="158"/>
      <c r="CB108" s="158"/>
      <c r="CD108" s="241" t="s">
        <v>261</v>
      </c>
      <c r="CE108" s="169">
        <v>51.8</v>
      </c>
      <c r="CF108" s="169"/>
      <c r="CG108" s="229">
        <v>7.0000000000000001E-3</v>
      </c>
      <c r="CH108" s="230">
        <v>2.4E-2</v>
      </c>
      <c r="CI108" s="201">
        <v>3.7999999999999999E-2</v>
      </c>
      <c r="CJ108" s="231">
        <v>4.4999999999999998E-2</v>
      </c>
      <c r="CK108" s="158"/>
      <c r="CL108" s="158"/>
      <c r="CM108" s="158"/>
      <c r="CN108" s="158"/>
      <c r="CO108" s="158"/>
      <c r="CP108" s="158"/>
      <c r="CQ108" s="158"/>
      <c r="CR108" s="158"/>
      <c r="CS108" s="158"/>
      <c r="CU108" s="241" t="s">
        <v>261</v>
      </c>
      <c r="CV108" s="169">
        <v>51.8</v>
      </c>
      <c r="CW108" s="229">
        <v>7.0000000000000001E-3</v>
      </c>
      <c r="CX108" s="230">
        <v>2.4E-2</v>
      </c>
      <c r="CY108" s="201">
        <v>3.7999999999999999E-2</v>
      </c>
      <c r="CZ108" s="231">
        <v>4.4999999999999998E-2</v>
      </c>
      <c r="DA108" s="158"/>
      <c r="DB108" s="158"/>
      <c r="DC108" s="158"/>
      <c r="DD108" s="158"/>
      <c r="DE108" s="158"/>
      <c r="DF108" s="158"/>
      <c r="DG108" s="158"/>
      <c r="DH108" s="158"/>
      <c r="DI108" s="158"/>
    </row>
    <row r="109" spans="1:113" x14ac:dyDescent="0.2">
      <c r="A109" s="363"/>
      <c r="B109" s="241" t="s">
        <v>262</v>
      </c>
      <c r="C109" s="169">
        <v>51.3</v>
      </c>
      <c r="D109" s="232">
        <v>8.9999999999999993E-3</v>
      </c>
      <c r="E109" s="233">
        <v>2.5999999999999999E-2</v>
      </c>
      <c r="F109" s="234">
        <v>3.7999999999999999E-2</v>
      </c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R109" s="241" t="s">
        <v>262</v>
      </c>
      <c r="S109" s="169">
        <v>51.3</v>
      </c>
      <c r="T109" s="232">
        <v>8.9999999999999993E-3</v>
      </c>
      <c r="U109" s="233">
        <v>2.5999999999999999E-2</v>
      </c>
      <c r="V109" s="234">
        <v>3.7999999999999999E-2</v>
      </c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  <c r="AH109" s="241" t="s">
        <v>262</v>
      </c>
      <c r="AI109" s="169">
        <v>51.3</v>
      </c>
      <c r="AJ109" s="232">
        <v>8.9999999999999993E-3</v>
      </c>
      <c r="AK109" s="233">
        <v>2.5999999999999999E-2</v>
      </c>
      <c r="AL109" s="234">
        <v>3.7999999999999999E-2</v>
      </c>
      <c r="AM109" s="158"/>
      <c r="AN109" s="158"/>
      <c r="AO109" s="158"/>
      <c r="AP109" s="158"/>
      <c r="AQ109" s="158"/>
      <c r="AR109" s="158"/>
      <c r="AS109" s="158"/>
      <c r="AT109" s="158"/>
      <c r="AU109" s="158"/>
      <c r="AV109" s="158"/>
      <c r="AX109" s="241" t="s">
        <v>262</v>
      </c>
      <c r="AY109" s="169">
        <v>51.3</v>
      </c>
      <c r="AZ109" s="232">
        <v>8.9999999999999993E-3</v>
      </c>
      <c r="BA109" s="233">
        <v>2.5999999999999999E-2</v>
      </c>
      <c r="BB109" s="234">
        <v>3.7999999999999999E-2</v>
      </c>
      <c r="BC109" s="158"/>
      <c r="BD109" s="158"/>
      <c r="BE109" s="158"/>
      <c r="BF109" s="158"/>
      <c r="BG109" s="158"/>
      <c r="BH109" s="158"/>
      <c r="BI109" s="158"/>
      <c r="BJ109" s="158"/>
      <c r="BK109" s="158"/>
      <c r="BL109" s="158"/>
      <c r="BN109" s="241" t="s">
        <v>262</v>
      </c>
      <c r="BO109" s="169">
        <v>51.3</v>
      </c>
      <c r="BP109" s="232">
        <v>8.9999999999999993E-3</v>
      </c>
      <c r="BQ109" s="233">
        <v>2.5999999999999999E-2</v>
      </c>
      <c r="BR109" s="234">
        <v>3.7999999999999999E-2</v>
      </c>
      <c r="BS109" s="158"/>
      <c r="BT109" s="158"/>
      <c r="BU109" s="158"/>
      <c r="BV109" s="158"/>
      <c r="BW109" s="158"/>
      <c r="BX109" s="158"/>
      <c r="BY109" s="158"/>
      <c r="BZ109" s="158"/>
      <c r="CA109" s="158"/>
      <c r="CB109" s="158"/>
      <c r="CD109" s="241" t="s">
        <v>262</v>
      </c>
      <c r="CE109" s="169">
        <v>51.3</v>
      </c>
      <c r="CF109" s="169"/>
      <c r="CG109" s="232">
        <v>8.9999999999999993E-3</v>
      </c>
      <c r="CH109" s="233">
        <v>2.5999999999999999E-2</v>
      </c>
      <c r="CI109" s="234">
        <v>3.7999999999999999E-2</v>
      </c>
      <c r="CJ109" s="158"/>
      <c r="CK109" s="158"/>
      <c r="CL109" s="158"/>
      <c r="CM109" s="158"/>
      <c r="CN109" s="158"/>
      <c r="CO109" s="158"/>
      <c r="CP109" s="158"/>
      <c r="CQ109" s="158"/>
      <c r="CR109" s="158"/>
      <c r="CS109" s="158"/>
      <c r="CU109" s="241" t="s">
        <v>262</v>
      </c>
      <c r="CV109" s="169">
        <v>51.3</v>
      </c>
      <c r="CW109" s="232">
        <v>8.9999999999999993E-3</v>
      </c>
      <c r="CX109" s="233">
        <v>2.5999999999999999E-2</v>
      </c>
      <c r="CY109" s="234">
        <v>3.7999999999999999E-2</v>
      </c>
      <c r="CZ109" s="158"/>
      <c r="DA109" s="158"/>
      <c r="DB109" s="158"/>
      <c r="DC109" s="158"/>
      <c r="DD109" s="158"/>
      <c r="DE109" s="158"/>
      <c r="DF109" s="158"/>
      <c r="DG109" s="158"/>
      <c r="DH109" s="158"/>
      <c r="DI109" s="158"/>
    </row>
    <row r="110" spans="1:113" x14ac:dyDescent="0.2">
      <c r="A110" s="363"/>
      <c r="B110" s="241" t="s">
        <v>263</v>
      </c>
      <c r="C110" s="169">
        <v>57.6</v>
      </c>
      <c r="D110" s="235">
        <v>8.9999999999999993E-3</v>
      </c>
      <c r="E110" s="236">
        <v>2.5000000000000001E-2</v>
      </c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R110" s="241" t="s">
        <v>263</v>
      </c>
      <c r="S110" s="169">
        <v>57.6</v>
      </c>
      <c r="T110" s="235">
        <v>8.9999999999999993E-3</v>
      </c>
      <c r="U110" s="236">
        <v>2.5000000000000001E-2</v>
      </c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58"/>
      <c r="AH110" s="241" t="s">
        <v>263</v>
      </c>
      <c r="AI110" s="169">
        <v>57.6</v>
      </c>
      <c r="AJ110" s="235">
        <v>8.9999999999999993E-3</v>
      </c>
      <c r="AK110" s="236">
        <v>2.5000000000000001E-2</v>
      </c>
      <c r="AL110" s="158"/>
      <c r="AM110" s="158"/>
      <c r="AN110" s="158"/>
      <c r="AO110" s="158"/>
      <c r="AP110" s="158"/>
      <c r="AQ110" s="158"/>
      <c r="AR110" s="158"/>
      <c r="AS110" s="158"/>
      <c r="AT110" s="158"/>
      <c r="AU110" s="158"/>
      <c r="AV110" s="158"/>
      <c r="AX110" s="241" t="s">
        <v>263</v>
      </c>
      <c r="AY110" s="169">
        <v>57.6</v>
      </c>
      <c r="AZ110" s="235">
        <v>8.9999999999999993E-3</v>
      </c>
      <c r="BA110" s="236">
        <v>2.5000000000000001E-2</v>
      </c>
      <c r="BB110" s="158"/>
      <c r="BC110" s="158"/>
      <c r="BD110" s="158"/>
      <c r="BE110" s="158"/>
      <c r="BF110" s="158"/>
      <c r="BG110" s="158"/>
      <c r="BH110" s="158"/>
      <c r="BI110" s="158"/>
      <c r="BJ110" s="158"/>
      <c r="BK110" s="158"/>
      <c r="BL110" s="158"/>
      <c r="BN110" s="241" t="s">
        <v>263</v>
      </c>
      <c r="BO110" s="169">
        <v>57.6</v>
      </c>
      <c r="BP110" s="235">
        <v>8.9999999999999993E-3</v>
      </c>
      <c r="BQ110" s="236">
        <v>2.5000000000000001E-2</v>
      </c>
      <c r="BR110" s="158"/>
      <c r="BS110" s="158"/>
      <c r="BT110" s="158"/>
      <c r="BU110" s="158"/>
      <c r="BV110" s="158"/>
      <c r="BW110" s="158"/>
      <c r="BX110" s="158"/>
      <c r="BY110" s="158"/>
      <c r="BZ110" s="158"/>
      <c r="CA110" s="158"/>
      <c r="CB110" s="158"/>
      <c r="CD110" s="241" t="s">
        <v>263</v>
      </c>
      <c r="CE110" s="169">
        <v>57.6</v>
      </c>
      <c r="CF110" s="169"/>
      <c r="CG110" s="235">
        <v>8.9999999999999993E-3</v>
      </c>
      <c r="CH110" s="236">
        <v>2.5000000000000001E-2</v>
      </c>
      <c r="CI110" s="158"/>
      <c r="CJ110" s="158"/>
      <c r="CK110" s="158"/>
      <c r="CL110" s="158"/>
      <c r="CM110" s="158"/>
      <c r="CN110" s="158"/>
      <c r="CO110" s="158"/>
      <c r="CP110" s="158"/>
      <c r="CQ110" s="158"/>
      <c r="CR110" s="158"/>
      <c r="CS110" s="158"/>
      <c r="CU110" s="241" t="s">
        <v>263</v>
      </c>
      <c r="CV110" s="169">
        <v>57.6</v>
      </c>
      <c r="CW110" s="235">
        <v>8.9999999999999993E-3</v>
      </c>
      <c r="CX110" s="236">
        <v>2.5000000000000001E-2</v>
      </c>
      <c r="CY110" s="158"/>
      <c r="CZ110" s="158"/>
      <c r="DA110" s="158"/>
      <c r="DB110" s="158"/>
      <c r="DC110" s="158"/>
      <c r="DD110" s="158"/>
      <c r="DE110" s="158"/>
      <c r="DF110" s="158"/>
      <c r="DG110" s="158"/>
      <c r="DH110" s="158"/>
      <c r="DI110" s="158"/>
    </row>
    <row r="111" spans="1:113" ht="16" thickBot="1" x14ac:dyDescent="0.25">
      <c r="A111" s="364"/>
      <c r="B111" s="242" t="s">
        <v>271</v>
      </c>
      <c r="C111" s="237">
        <v>53.5</v>
      </c>
      <c r="D111" s="238">
        <v>7.0000000000000001E-3</v>
      </c>
      <c r="E111" s="239"/>
      <c r="F111" s="239"/>
      <c r="G111" s="239"/>
      <c r="H111" s="239"/>
      <c r="I111" s="239"/>
      <c r="J111" s="239"/>
      <c r="K111" s="239"/>
      <c r="L111" s="239"/>
      <c r="M111" s="239"/>
      <c r="N111" s="239"/>
      <c r="O111" s="239"/>
      <c r="P111" s="239"/>
      <c r="R111" s="242" t="s">
        <v>271</v>
      </c>
      <c r="S111" s="237">
        <v>53.5</v>
      </c>
      <c r="T111" s="238">
        <v>7.0000000000000001E-3</v>
      </c>
      <c r="U111" s="239"/>
      <c r="V111" s="239"/>
      <c r="W111" s="239"/>
      <c r="X111" s="239"/>
      <c r="Y111" s="239"/>
      <c r="Z111" s="239"/>
      <c r="AA111" s="239"/>
      <c r="AB111" s="239"/>
      <c r="AC111" s="239"/>
      <c r="AD111" s="239"/>
      <c r="AE111" s="239"/>
      <c r="AF111" s="239"/>
      <c r="AH111" s="242" t="s">
        <v>271</v>
      </c>
      <c r="AI111" s="237">
        <v>53.5</v>
      </c>
      <c r="AJ111" s="238">
        <v>7.0000000000000001E-3</v>
      </c>
      <c r="AK111" s="239"/>
      <c r="AL111" s="239"/>
      <c r="AM111" s="239"/>
      <c r="AN111" s="239"/>
      <c r="AO111" s="239"/>
      <c r="AP111" s="239"/>
      <c r="AQ111" s="239"/>
      <c r="AR111" s="239"/>
      <c r="AS111" s="239"/>
      <c r="AT111" s="239"/>
      <c r="AU111" s="239"/>
      <c r="AV111" s="239"/>
      <c r="AX111" s="242" t="s">
        <v>271</v>
      </c>
      <c r="AY111" s="237">
        <v>53.5</v>
      </c>
      <c r="AZ111" s="238">
        <v>7.0000000000000001E-3</v>
      </c>
      <c r="BA111" s="239"/>
      <c r="BB111" s="239"/>
      <c r="BC111" s="239"/>
      <c r="BD111" s="239"/>
      <c r="BE111" s="239"/>
      <c r="BF111" s="239"/>
      <c r="BG111" s="239"/>
      <c r="BH111" s="239"/>
      <c r="BI111" s="239"/>
      <c r="BJ111" s="239"/>
      <c r="BK111" s="239"/>
      <c r="BL111" s="239"/>
      <c r="BN111" s="242" t="s">
        <v>271</v>
      </c>
      <c r="BO111" s="237">
        <v>53.5</v>
      </c>
      <c r="BP111" s="238">
        <v>7.0000000000000001E-3</v>
      </c>
      <c r="BQ111" s="239"/>
      <c r="BR111" s="239"/>
      <c r="BS111" s="239"/>
      <c r="BT111" s="239"/>
      <c r="BU111" s="239"/>
      <c r="BV111" s="239"/>
      <c r="BW111" s="239"/>
      <c r="BX111" s="239"/>
      <c r="BY111" s="239"/>
      <c r="BZ111" s="239"/>
      <c r="CA111" s="239"/>
      <c r="CB111" s="239"/>
      <c r="CD111" s="242" t="s">
        <v>271</v>
      </c>
      <c r="CE111" s="237">
        <v>53.5</v>
      </c>
      <c r="CF111" s="237"/>
      <c r="CG111" s="238">
        <v>7.0000000000000001E-3</v>
      </c>
      <c r="CH111" s="239"/>
      <c r="CI111" s="239"/>
      <c r="CJ111" s="239"/>
      <c r="CK111" s="239"/>
      <c r="CL111" s="239"/>
      <c r="CM111" s="239"/>
      <c r="CN111" s="239"/>
      <c r="CO111" s="239"/>
      <c r="CP111" s="239"/>
      <c r="CQ111" s="239"/>
      <c r="CR111" s="239"/>
      <c r="CS111" s="239"/>
      <c r="CU111" s="242" t="s">
        <v>271</v>
      </c>
      <c r="CV111" s="237">
        <v>53.5</v>
      </c>
      <c r="CW111" s="238">
        <v>7.0000000000000001E-3</v>
      </c>
      <c r="CX111" s="239"/>
      <c r="CY111" s="239"/>
      <c r="CZ111" s="239"/>
      <c r="DA111" s="239"/>
      <c r="DB111" s="239"/>
      <c r="DC111" s="239"/>
      <c r="DD111" s="239"/>
      <c r="DE111" s="239"/>
      <c r="DF111" s="239"/>
      <c r="DG111" s="239"/>
      <c r="DH111" s="239"/>
      <c r="DI111" s="239"/>
    </row>
    <row r="112" spans="1:113" ht="16" thickBot="1" x14ac:dyDescent="0.25"/>
    <row r="113" spans="1:113" x14ac:dyDescent="0.2">
      <c r="A113" s="362" t="s">
        <v>25</v>
      </c>
      <c r="B113" s="361" t="s">
        <v>274</v>
      </c>
      <c r="C113" s="361"/>
      <c r="D113" s="361"/>
      <c r="E113" s="361"/>
      <c r="F113" s="361"/>
      <c r="G113" s="361"/>
      <c r="H113" s="361"/>
      <c r="I113" s="361"/>
      <c r="J113" s="361"/>
      <c r="K113" s="361"/>
      <c r="L113" s="361"/>
      <c r="M113" s="361"/>
      <c r="N113" s="361"/>
      <c r="O113" s="361"/>
      <c r="P113" s="361"/>
      <c r="R113" s="361" t="s">
        <v>275</v>
      </c>
      <c r="S113" s="361"/>
      <c r="T113" s="361"/>
      <c r="U113" s="361"/>
      <c r="V113" s="361"/>
      <c r="W113" s="361"/>
      <c r="X113" s="361"/>
      <c r="Y113" s="361"/>
      <c r="Z113" s="361"/>
      <c r="AA113" s="361"/>
      <c r="AB113" s="361"/>
      <c r="AC113" s="361"/>
      <c r="AD113" s="361"/>
      <c r="AE113" s="361"/>
      <c r="AF113" s="361"/>
      <c r="AH113" s="361" t="s">
        <v>276</v>
      </c>
      <c r="AI113" s="361"/>
      <c r="AJ113" s="361"/>
      <c r="AK113" s="361"/>
      <c r="AL113" s="361"/>
      <c r="AM113" s="361"/>
      <c r="AN113" s="361"/>
      <c r="AO113" s="361"/>
      <c r="AP113" s="361"/>
      <c r="AQ113" s="361"/>
      <c r="AR113" s="361"/>
      <c r="AS113" s="361"/>
      <c r="AT113" s="361"/>
      <c r="AU113" s="361"/>
      <c r="AV113" s="361"/>
      <c r="AX113" s="361" t="s">
        <v>277</v>
      </c>
      <c r="AY113" s="361"/>
      <c r="AZ113" s="361"/>
      <c r="BA113" s="361"/>
      <c r="BB113" s="361"/>
      <c r="BC113" s="361"/>
      <c r="BD113" s="361"/>
      <c r="BE113" s="361"/>
      <c r="BF113" s="361"/>
      <c r="BG113" s="361"/>
      <c r="BH113" s="361"/>
      <c r="BI113" s="361"/>
      <c r="BJ113" s="361"/>
      <c r="BK113" s="361"/>
      <c r="BL113" s="361"/>
      <c r="BN113" s="361" t="s">
        <v>278</v>
      </c>
      <c r="BO113" s="361"/>
      <c r="BP113" s="361"/>
      <c r="BQ113" s="361"/>
      <c r="BR113" s="361"/>
      <c r="BS113" s="361"/>
      <c r="BT113" s="361"/>
      <c r="BU113" s="361"/>
      <c r="BV113" s="361"/>
      <c r="BW113" s="361"/>
      <c r="BX113" s="361"/>
      <c r="BY113" s="361"/>
      <c r="BZ113" s="361"/>
      <c r="CA113" s="361"/>
      <c r="CB113" s="361"/>
      <c r="CD113" s="361" t="s">
        <v>279</v>
      </c>
      <c r="CE113" s="361"/>
      <c r="CF113" s="361"/>
      <c r="CG113" s="361"/>
      <c r="CH113" s="361"/>
      <c r="CI113" s="361"/>
      <c r="CJ113" s="361"/>
      <c r="CK113" s="361"/>
      <c r="CL113" s="361"/>
      <c r="CM113" s="361"/>
      <c r="CN113" s="361"/>
      <c r="CO113" s="361"/>
      <c r="CP113" s="361"/>
      <c r="CQ113" s="361"/>
      <c r="CR113" s="361"/>
      <c r="CS113" s="361"/>
      <c r="CU113" s="361" t="s">
        <v>280</v>
      </c>
      <c r="CV113" s="361"/>
      <c r="CW113" s="361"/>
      <c r="CX113" s="361"/>
      <c r="CY113" s="361"/>
      <c r="CZ113" s="361"/>
      <c r="DA113" s="361"/>
      <c r="DB113" s="361"/>
      <c r="DC113" s="361"/>
      <c r="DD113" s="361"/>
      <c r="DE113" s="361"/>
      <c r="DF113" s="361"/>
      <c r="DG113" s="361"/>
      <c r="DH113" s="361"/>
      <c r="DI113" s="361"/>
    </row>
    <row r="114" spans="1:113" x14ac:dyDescent="0.2">
      <c r="A114" s="363"/>
      <c r="B114" s="240" t="s">
        <v>126</v>
      </c>
      <c r="C114" s="157" t="s">
        <v>281</v>
      </c>
      <c r="D114" s="157">
        <v>1</v>
      </c>
      <c r="E114" s="157">
        <v>2</v>
      </c>
      <c r="F114" s="157">
        <v>3</v>
      </c>
      <c r="G114" s="157">
        <v>4</v>
      </c>
      <c r="H114" s="157">
        <v>5</v>
      </c>
      <c r="I114" s="157">
        <v>6</v>
      </c>
      <c r="J114" s="157">
        <v>7</v>
      </c>
      <c r="K114" s="157">
        <v>8</v>
      </c>
      <c r="L114" s="157">
        <v>9</v>
      </c>
      <c r="M114" s="157">
        <v>10</v>
      </c>
      <c r="N114" s="157">
        <v>11</v>
      </c>
      <c r="O114" s="157">
        <v>12</v>
      </c>
      <c r="P114" s="157">
        <v>13</v>
      </c>
      <c r="R114" s="240" t="s">
        <v>126</v>
      </c>
      <c r="S114" s="157" t="s">
        <v>281</v>
      </c>
      <c r="T114" s="157">
        <v>2</v>
      </c>
      <c r="U114" s="157">
        <v>3</v>
      </c>
      <c r="V114" s="157">
        <v>4</v>
      </c>
      <c r="W114" s="157">
        <v>5</v>
      </c>
      <c r="X114" s="157">
        <v>6</v>
      </c>
      <c r="Y114" s="157">
        <v>7</v>
      </c>
      <c r="Z114" s="157">
        <v>8</v>
      </c>
      <c r="AA114" s="157">
        <v>9</v>
      </c>
      <c r="AB114" s="157">
        <v>10</v>
      </c>
      <c r="AC114" s="157">
        <v>11</v>
      </c>
      <c r="AD114" s="157">
        <v>12</v>
      </c>
      <c r="AE114" s="157">
        <v>13</v>
      </c>
      <c r="AF114" s="157">
        <v>14</v>
      </c>
      <c r="AH114" s="240" t="s">
        <v>126</v>
      </c>
      <c r="AI114" s="157" t="s">
        <v>281</v>
      </c>
      <c r="AJ114" s="157">
        <v>3</v>
      </c>
      <c r="AK114" s="157">
        <v>4</v>
      </c>
      <c r="AL114" s="157">
        <v>5</v>
      </c>
      <c r="AM114" s="157">
        <v>6</v>
      </c>
      <c r="AN114" s="157">
        <v>7</v>
      </c>
      <c r="AO114" s="157">
        <v>8</v>
      </c>
      <c r="AP114" s="157">
        <v>9</v>
      </c>
      <c r="AQ114" s="157">
        <v>10</v>
      </c>
      <c r="AR114" s="157">
        <v>11</v>
      </c>
      <c r="AS114" s="157">
        <v>12</v>
      </c>
      <c r="AT114" s="157">
        <v>13</v>
      </c>
      <c r="AU114" s="157">
        <v>14</v>
      </c>
      <c r="AV114" s="157">
        <v>15</v>
      </c>
      <c r="AX114" s="240" t="s">
        <v>126</v>
      </c>
      <c r="AY114" s="157" t="s">
        <v>281</v>
      </c>
      <c r="AZ114" s="157">
        <v>4</v>
      </c>
      <c r="BA114" s="157">
        <v>5</v>
      </c>
      <c r="BB114" s="157">
        <v>6</v>
      </c>
      <c r="BC114" s="157">
        <v>7</v>
      </c>
      <c r="BD114" s="157">
        <v>8</v>
      </c>
      <c r="BE114" s="157">
        <v>9</v>
      </c>
      <c r="BF114" s="157">
        <v>10</v>
      </c>
      <c r="BG114" s="157">
        <v>11</v>
      </c>
      <c r="BH114" s="157">
        <v>12</v>
      </c>
      <c r="BI114" s="157">
        <v>13</v>
      </c>
      <c r="BJ114" s="157">
        <v>14</v>
      </c>
      <c r="BK114" s="157">
        <v>15</v>
      </c>
      <c r="BL114" s="157">
        <v>16</v>
      </c>
      <c r="BN114" s="240" t="s">
        <v>126</v>
      </c>
      <c r="BO114" s="157" t="s">
        <v>281</v>
      </c>
      <c r="BP114" s="157">
        <v>4</v>
      </c>
      <c r="BQ114" s="157">
        <v>5</v>
      </c>
      <c r="BR114" s="157">
        <v>6</v>
      </c>
      <c r="BS114" s="157">
        <v>7</v>
      </c>
      <c r="BT114" s="157">
        <v>8</v>
      </c>
      <c r="BU114" s="157">
        <v>9</v>
      </c>
      <c r="BV114" s="157">
        <v>10</v>
      </c>
      <c r="BW114" s="157">
        <v>11</v>
      </c>
      <c r="BX114" s="157">
        <v>12</v>
      </c>
      <c r="BY114" s="157">
        <v>13</v>
      </c>
      <c r="BZ114" s="157">
        <v>14</v>
      </c>
      <c r="CA114" s="157">
        <v>15</v>
      </c>
      <c r="CB114" s="157">
        <v>16</v>
      </c>
      <c r="CD114" s="240" t="s">
        <v>126</v>
      </c>
      <c r="CE114" s="157" t="s">
        <v>281</v>
      </c>
      <c r="CF114" s="157" t="s">
        <v>282</v>
      </c>
      <c r="CG114" s="157">
        <v>1</v>
      </c>
      <c r="CH114" s="157">
        <v>2</v>
      </c>
      <c r="CI114" s="157">
        <v>3</v>
      </c>
      <c r="CJ114" s="157">
        <v>4</v>
      </c>
      <c r="CK114" s="157">
        <v>5</v>
      </c>
      <c r="CL114" s="157">
        <v>6</v>
      </c>
      <c r="CM114" s="157">
        <v>7</v>
      </c>
      <c r="CN114" s="157">
        <v>8</v>
      </c>
      <c r="CO114" s="157">
        <v>9</v>
      </c>
      <c r="CP114" s="157">
        <v>10</v>
      </c>
      <c r="CQ114" s="157">
        <v>11</v>
      </c>
      <c r="CR114" s="157">
        <v>12</v>
      </c>
      <c r="CS114" s="157">
        <v>13</v>
      </c>
      <c r="CU114" s="240" t="s">
        <v>126</v>
      </c>
      <c r="CV114" s="157" t="s">
        <v>281</v>
      </c>
      <c r="CW114" s="157">
        <v>1</v>
      </c>
      <c r="CX114" s="157">
        <v>2</v>
      </c>
      <c r="CY114" s="157">
        <v>3</v>
      </c>
      <c r="CZ114" s="157">
        <v>4</v>
      </c>
      <c r="DA114" s="157">
        <v>5</v>
      </c>
      <c r="DB114" s="157">
        <v>6</v>
      </c>
      <c r="DC114" s="157">
        <v>7</v>
      </c>
      <c r="DD114" s="157">
        <v>8</v>
      </c>
      <c r="DE114" s="157">
        <v>9</v>
      </c>
      <c r="DF114" s="157">
        <v>10</v>
      </c>
      <c r="DG114" s="157">
        <v>11</v>
      </c>
      <c r="DH114" s="157">
        <v>12</v>
      </c>
      <c r="DI114" s="157">
        <v>13</v>
      </c>
    </row>
    <row r="115" spans="1:113" x14ac:dyDescent="0.2">
      <c r="A115" s="363"/>
      <c r="B115" s="241" t="s">
        <v>283</v>
      </c>
      <c r="C115" s="158">
        <v>22.2</v>
      </c>
      <c r="D115" s="187">
        <v>7.0000000000000001E-3</v>
      </c>
      <c r="E115" s="168">
        <v>1.7999999999999999E-2</v>
      </c>
      <c r="F115" s="191">
        <v>2.5999999999999999E-2</v>
      </c>
      <c r="G115" s="192">
        <v>3.4000000000000002E-2</v>
      </c>
      <c r="H115" s="185">
        <v>3.7999999999999999E-2</v>
      </c>
      <c r="I115" s="184">
        <v>3.9E-2</v>
      </c>
      <c r="J115" s="193">
        <v>3.5999999999999997E-2</v>
      </c>
      <c r="K115" s="167">
        <v>3.3000000000000002E-2</v>
      </c>
      <c r="L115" s="194">
        <v>3.2000000000000001E-2</v>
      </c>
      <c r="M115" s="195">
        <v>3.1E-2</v>
      </c>
      <c r="N115" s="162">
        <v>0.03</v>
      </c>
      <c r="O115" s="175">
        <v>0.03</v>
      </c>
      <c r="P115" s="196">
        <v>2.9000000000000001E-2</v>
      </c>
      <c r="R115" s="241" t="s">
        <v>283</v>
      </c>
      <c r="S115" s="158">
        <v>22.2</v>
      </c>
      <c r="T115" s="187">
        <v>7.0000000000000001E-3</v>
      </c>
      <c r="U115" s="168">
        <v>1.7999999999999999E-2</v>
      </c>
      <c r="V115" s="191">
        <v>2.5999999999999999E-2</v>
      </c>
      <c r="W115" s="192">
        <v>3.4000000000000002E-2</v>
      </c>
      <c r="X115" s="185">
        <v>3.7999999999999999E-2</v>
      </c>
      <c r="Y115" s="184">
        <v>3.9E-2</v>
      </c>
      <c r="Z115" s="193">
        <v>3.5999999999999997E-2</v>
      </c>
      <c r="AA115" s="167">
        <v>3.3000000000000002E-2</v>
      </c>
      <c r="AB115" s="194">
        <v>3.2000000000000001E-2</v>
      </c>
      <c r="AC115" s="195">
        <v>3.1E-2</v>
      </c>
      <c r="AD115" s="162">
        <v>0.03</v>
      </c>
      <c r="AE115" s="175">
        <v>0.03</v>
      </c>
      <c r="AF115" s="196">
        <v>2.9000000000000001E-2</v>
      </c>
      <c r="AH115" s="241" t="s">
        <v>283</v>
      </c>
      <c r="AI115" s="158">
        <v>22.2</v>
      </c>
      <c r="AJ115" s="187">
        <v>7.0000000000000001E-3</v>
      </c>
      <c r="AK115" s="168">
        <v>1.7999999999999999E-2</v>
      </c>
      <c r="AL115" s="191">
        <v>2.5999999999999999E-2</v>
      </c>
      <c r="AM115" s="192">
        <v>3.4000000000000002E-2</v>
      </c>
      <c r="AN115" s="185">
        <v>3.7999999999999999E-2</v>
      </c>
      <c r="AO115" s="184">
        <v>3.9E-2</v>
      </c>
      <c r="AP115" s="193">
        <v>3.5999999999999997E-2</v>
      </c>
      <c r="AQ115" s="167">
        <v>3.3000000000000002E-2</v>
      </c>
      <c r="AR115" s="194">
        <v>3.2000000000000001E-2</v>
      </c>
      <c r="AS115" s="195">
        <v>3.1E-2</v>
      </c>
      <c r="AT115" s="162">
        <v>0.03</v>
      </c>
      <c r="AU115" s="175">
        <v>0.03</v>
      </c>
      <c r="AV115" s="196">
        <v>2.9000000000000001E-2</v>
      </c>
      <c r="AX115" s="241" t="s">
        <v>283</v>
      </c>
      <c r="AY115" s="158">
        <v>22.2</v>
      </c>
      <c r="AZ115" s="187">
        <v>7.0000000000000001E-3</v>
      </c>
      <c r="BA115" s="168">
        <v>1.7999999999999999E-2</v>
      </c>
      <c r="BB115" s="191">
        <v>2.5999999999999999E-2</v>
      </c>
      <c r="BC115" s="192">
        <v>3.4000000000000002E-2</v>
      </c>
      <c r="BD115" s="185">
        <v>3.7999999999999999E-2</v>
      </c>
      <c r="BE115" s="184">
        <v>3.9E-2</v>
      </c>
      <c r="BF115" s="193">
        <v>3.5999999999999997E-2</v>
      </c>
      <c r="BG115" s="167">
        <v>3.3000000000000002E-2</v>
      </c>
      <c r="BH115" s="194">
        <v>3.2000000000000001E-2</v>
      </c>
      <c r="BI115" s="195">
        <v>3.1E-2</v>
      </c>
      <c r="BJ115" s="162">
        <v>0.03</v>
      </c>
      <c r="BK115" s="175">
        <v>0.03</v>
      </c>
      <c r="BL115" s="196">
        <v>2.9000000000000001E-2</v>
      </c>
      <c r="BN115" s="241" t="s">
        <v>283</v>
      </c>
      <c r="BO115" s="158">
        <v>22.2</v>
      </c>
      <c r="BP115" s="187">
        <v>7.0000000000000001E-3</v>
      </c>
      <c r="BQ115" s="168">
        <v>1.7999999999999999E-2</v>
      </c>
      <c r="BR115" s="191">
        <v>2.5999999999999999E-2</v>
      </c>
      <c r="BS115" s="192">
        <v>3.4000000000000002E-2</v>
      </c>
      <c r="BT115" s="185">
        <v>3.7999999999999999E-2</v>
      </c>
      <c r="BU115" s="184">
        <v>3.9E-2</v>
      </c>
      <c r="BV115" s="193">
        <v>3.5999999999999997E-2</v>
      </c>
      <c r="BW115" s="167">
        <v>3.3000000000000002E-2</v>
      </c>
      <c r="BX115" s="194">
        <v>3.2000000000000001E-2</v>
      </c>
      <c r="BY115" s="195">
        <v>3.1E-2</v>
      </c>
      <c r="BZ115" s="162">
        <v>0.03</v>
      </c>
      <c r="CA115" s="175">
        <v>0.03</v>
      </c>
      <c r="CB115" s="196">
        <v>2.9000000000000001E-2</v>
      </c>
      <c r="CD115" s="241" t="s">
        <v>283</v>
      </c>
      <c r="CE115" s="158">
        <v>22.2</v>
      </c>
      <c r="CF115" s="158"/>
      <c r="CG115" s="187">
        <v>7.0000000000000001E-3</v>
      </c>
      <c r="CH115" s="168">
        <v>1.7999999999999999E-2</v>
      </c>
      <c r="CI115" s="191">
        <v>2.5999999999999999E-2</v>
      </c>
      <c r="CJ115" s="192">
        <v>3.4000000000000002E-2</v>
      </c>
      <c r="CK115" s="185">
        <v>3.7999999999999999E-2</v>
      </c>
      <c r="CL115" s="184">
        <v>3.9E-2</v>
      </c>
      <c r="CM115" s="193">
        <v>3.5999999999999997E-2</v>
      </c>
      <c r="CN115" s="167">
        <v>3.3000000000000002E-2</v>
      </c>
      <c r="CO115" s="194">
        <v>3.2000000000000001E-2</v>
      </c>
      <c r="CP115" s="195">
        <v>3.1E-2</v>
      </c>
      <c r="CQ115" s="162">
        <v>0.03</v>
      </c>
      <c r="CR115" s="175">
        <v>0.03</v>
      </c>
      <c r="CS115" s="196">
        <v>2.9000000000000001E-2</v>
      </c>
      <c r="CU115" s="241" t="s">
        <v>283</v>
      </c>
      <c r="CV115" s="158">
        <v>22.2</v>
      </c>
      <c r="CW115" s="187">
        <v>7.0000000000000001E-3</v>
      </c>
      <c r="CX115" s="168">
        <v>1.7999999999999999E-2</v>
      </c>
      <c r="CY115" s="191">
        <v>2.5999999999999999E-2</v>
      </c>
      <c r="CZ115" s="192">
        <v>3.4000000000000002E-2</v>
      </c>
      <c r="DA115" s="185">
        <v>3.7999999999999999E-2</v>
      </c>
      <c r="DB115" s="184">
        <v>3.9E-2</v>
      </c>
      <c r="DC115" s="193">
        <v>3.5999999999999997E-2</v>
      </c>
      <c r="DD115" s="167">
        <v>3.3000000000000002E-2</v>
      </c>
      <c r="DE115" s="194">
        <v>3.2000000000000001E-2</v>
      </c>
      <c r="DF115" s="195">
        <v>3.1E-2</v>
      </c>
      <c r="DG115" s="162">
        <v>0.03</v>
      </c>
      <c r="DH115" s="175">
        <v>0.03</v>
      </c>
      <c r="DI115" s="196">
        <v>2.9000000000000001E-2</v>
      </c>
    </row>
    <row r="116" spans="1:113" x14ac:dyDescent="0.2">
      <c r="A116" s="363"/>
      <c r="B116" s="241" t="s">
        <v>284</v>
      </c>
      <c r="C116" s="158">
        <v>21.8</v>
      </c>
      <c r="D116" s="197">
        <v>6.0000000000000001E-3</v>
      </c>
      <c r="E116" s="198">
        <v>0.02</v>
      </c>
      <c r="F116" s="199">
        <v>2.9000000000000001E-2</v>
      </c>
      <c r="G116" s="200">
        <v>3.4000000000000002E-2</v>
      </c>
      <c r="H116" s="201">
        <v>3.7999999999999999E-2</v>
      </c>
      <c r="I116" s="202">
        <v>3.7999999999999999E-2</v>
      </c>
      <c r="J116" s="166">
        <v>3.5000000000000003E-2</v>
      </c>
      <c r="K116" s="186">
        <v>3.3000000000000002E-2</v>
      </c>
      <c r="L116" s="159">
        <v>3.1E-2</v>
      </c>
      <c r="M116" s="203">
        <v>3.1E-2</v>
      </c>
      <c r="N116" s="204">
        <v>0.03</v>
      </c>
      <c r="O116" s="205">
        <v>2.9000000000000001E-2</v>
      </c>
      <c r="P116" s="158"/>
      <c r="R116" s="241" t="s">
        <v>284</v>
      </c>
      <c r="S116" s="158">
        <v>21.8</v>
      </c>
      <c r="T116" s="197">
        <v>6.0000000000000001E-3</v>
      </c>
      <c r="U116" s="198">
        <v>0.02</v>
      </c>
      <c r="V116" s="199">
        <v>2.9000000000000001E-2</v>
      </c>
      <c r="W116" s="200">
        <v>3.4000000000000002E-2</v>
      </c>
      <c r="X116" s="201">
        <v>3.7999999999999999E-2</v>
      </c>
      <c r="Y116" s="202">
        <v>3.7999999999999999E-2</v>
      </c>
      <c r="Z116" s="166">
        <v>3.5000000000000003E-2</v>
      </c>
      <c r="AA116" s="186">
        <v>3.3000000000000002E-2</v>
      </c>
      <c r="AB116" s="159">
        <v>3.1E-2</v>
      </c>
      <c r="AC116" s="203">
        <v>3.1E-2</v>
      </c>
      <c r="AD116" s="204">
        <v>0.03</v>
      </c>
      <c r="AE116" s="205">
        <v>2.9000000000000001E-2</v>
      </c>
      <c r="AF116" s="158"/>
      <c r="AH116" s="241" t="s">
        <v>284</v>
      </c>
      <c r="AI116" s="158">
        <v>21.8</v>
      </c>
      <c r="AJ116" s="197">
        <v>6.0000000000000001E-3</v>
      </c>
      <c r="AK116" s="198">
        <v>0.02</v>
      </c>
      <c r="AL116" s="199">
        <v>2.9000000000000001E-2</v>
      </c>
      <c r="AM116" s="200">
        <v>3.4000000000000002E-2</v>
      </c>
      <c r="AN116" s="201">
        <v>3.7999999999999999E-2</v>
      </c>
      <c r="AO116" s="202">
        <v>3.7999999999999999E-2</v>
      </c>
      <c r="AP116" s="166">
        <v>3.5000000000000003E-2</v>
      </c>
      <c r="AQ116" s="186">
        <v>3.3000000000000002E-2</v>
      </c>
      <c r="AR116" s="159">
        <v>3.1E-2</v>
      </c>
      <c r="AS116" s="203">
        <v>3.1E-2</v>
      </c>
      <c r="AT116" s="204">
        <v>0.03</v>
      </c>
      <c r="AU116" s="205">
        <v>2.9000000000000001E-2</v>
      </c>
      <c r="AV116" s="158"/>
      <c r="AX116" s="241" t="s">
        <v>284</v>
      </c>
      <c r="AY116" s="158">
        <v>21.8</v>
      </c>
      <c r="AZ116" s="197">
        <v>6.0000000000000001E-3</v>
      </c>
      <c r="BA116" s="198">
        <v>0.02</v>
      </c>
      <c r="BB116" s="199">
        <v>2.9000000000000001E-2</v>
      </c>
      <c r="BC116" s="200">
        <v>3.4000000000000002E-2</v>
      </c>
      <c r="BD116" s="201">
        <v>3.7999999999999999E-2</v>
      </c>
      <c r="BE116" s="202">
        <v>3.7999999999999999E-2</v>
      </c>
      <c r="BF116" s="166">
        <v>3.5000000000000003E-2</v>
      </c>
      <c r="BG116" s="186">
        <v>3.3000000000000002E-2</v>
      </c>
      <c r="BH116" s="159">
        <v>3.1E-2</v>
      </c>
      <c r="BI116" s="203">
        <v>3.1E-2</v>
      </c>
      <c r="BJ116" s="204">
        <v>0.03</v>
      </c>
      <c r="BK116" s="205">
        <v>2.9000000000000001E-2</v>
      </c>
      <c r="BL116" s="158"/>
      <c r="BN116" s="241" t="s">
        <v>284</v>
      </c>
      <c r="BO116" s="158">
        <v>21.8</v>
      </c>
      <c r="BP116" s="197">
        <v>6.0000000000000001E-3</v>
      </c>
      <c r="BQ116" s="198">
        <v>0.02</v>
      </c>
      <c r="BR116" s="199">
        <v>2.9000000000000001E-2</v>
      </c>
      <c r="BS116" s="200">
        <v>3.4000000000000002E-2</v>
      </c>
      <c r="BT116" s="201">
        <v>3.7999999999999999E-2</v>
      </c>
      <c r="BU116" s="202">
        <v>3.7999999999999999E-2</v>
      </c>
      <c r="BV116" s="166">
        <v>3.5000000000000003E-2</v>
      </c>
      <c r="BW116" s="186">
        <v>3.3000000000000002E-2</v>
      </c>
      <c r="BX116" s="159">
        <v>3.1E-2</v>
      </c>
      <c r="BY116" s="203">
        <v>3.1E-2</v>
      </c>
      <c r="BZ116" s="204">
        <v>0.03</v>
      </c>
      <c r="CA116" s="205">
        <v>2.9000000000000001E-2</v>
      </c>
      <c r="CB116" s="158"/>
      <c r="CD116" s="241" t="s">
        <v>284</v>
      </c>
      <c r="CE116" s="158">
        <v>21.8</v>
      </c>
      <c r="CF116" s="158"/>
      <c r="CG116" s="197">
        <v>6.0000000000000001E-3</v>
      </c>
      <c r="CH116" s="198">
        <v>0.02</v>
      </c>
      <c r="CI116" s="199">
        <v>2.9000000000000001E-2</v>
      </c>
      <c r="CJ116" s="200">
        <v>3.4000000000000002E-2</v>
      </c>
      <c r="CK116" s="201">
        <v>3.7999999999999999E-2</v>
      </c>
      <c r="CL116" s="202">
        <v>3.7999999999999999E-2</v>
      </c>
      <c r="CM116" s="166">
        <v>3.5000000000000003E-2</v>
      </c>
      <c r="CN116" s="186">
        <v>3.3000000000000002E-2</v>
      </c>
      <c r="CO116" s="159">
        <v>3.1E-2</v>
      </c>
      <c r="CP116" s="203">
        <v>3.1E-2</v>
      </c>
      <c r="CQ116" s="204">
        <v>0.03</v>
      </c>
      <c r="CR116" s="205">
        <v>2.9000000000000001E-2</v>
      </c>
      <c r="CS116" s="158"/>
      <c r="CU116" s="241" t="s">
        <v>284</v>
      </c>
      <c r="CV116" s="158">
        <v>21.8</v>
      </c>
      <c r="CW116" s="197">
        <v>6.0000000000000001E-3</v>
      </c>
      <c r="CX116" s="198">
        <v>0.02</v>
      </c>
      <c r="CY116" s="199">
        <v>2.9000000000000001E-2</v>
      </c>
      <c r="CZ116" s="200">
        <v>3.4000000000000002E-2</v>
      </c>
      <c r="DA116" s="201">
        <v>3.7999999999999999E-2</v>
      </c>
      <c r="DB116" s="202">
        <v>3.7999999999999999E-2</v>
      </c>
      <c r="DC116" s="166">
        <v>3.5000000000000003E-2</v>
      </c>
      <c r="DD116" s="186">
        <v>3.3000000000000002E-2</v>
      </c>
      <c r="DE116" s="159">
        <v>3.1E-2</v>
      </c>
      <c r="DF116" s="203">
        <v>3.1E-2</v>
      </c>
      <c r="DG116" s="204">
        <v>0.03</v>
      </c>
      <c r="DH116" s="205">
        <v>2.9000000000000001E-2</v>
      </c>
      <c r="DI116" s="158"/>
    </row>
    <row r="117" spans="1:113" x14ac:dyDescent="0.2">
      <c r="A117" s="363"/>
      <c r="B117" s="241" t="s">
        <v>285</v>
      </c>
      <c r="C117" s="158">
        <v>27</v>
      </c>
      <c r="D117" s="206">
        <v>6.0000000000000001E-3</v>
      </c>
      <c r="E117" s="179">
        <v>2.1000000000000001E-2</v>
      </c>
      <c r="F117" s="163">
        <v>2.9000000000000001E-2</v>
      </c>
      <c r="G117" s="166">
        <v>3.5000000000000003E-2</v>
      </c>
      <c r="H117" s="207">
        <v>4.1000000000000002E-2</v>
      </c>
      <c r="I117" s="181">
        <v>4.2000000000000003E-2</v>
      </c>
      <c r="J117" s="170">
        <v>0.04</v>
      </c>
      <c r="K117" s="208">
        <v>3.6999999999999998E-2</v>
      </c>
      <c r="L117" s="161">
        <v>3.5999999999999997E-2</v>
      </c>
      <c r="M117" s="165">
        <v>3.4000000000000002E-2</v>
      </c>
      <c r="N117" s="167">
        <v>3.3000000000000002E-2</v>
      </c>
      <c r="O117" s="158"/>
      <c r="P117" s="158"/>
      <c r="R117" s="241" t="s">
        <v>285</v>
      </c>
      <c r="S117" s="158">
        <v>27</v>
      </c>
      <c r="T117" s="206">
        <v>6.0000000000000001E-3</v>
      </c>
      <c r="U117" s="179">
        <v>2.1000000000000001E-2</v>
      </c>
      <c r="V117" s="163">
        <v>2.9000000000000001E-2</v>
      </c>
      <c r="W117" s="166">
        <v>3.5000000000000003E-2</v>
      </c>
      <c r="X117" s="207">
        <v>4.1000000000000002E-2</v>
      </c>
      <c r="Y117" s="181">
        <v>4.2000000000000003E-2</v>
      </c>
      <c r="Z117" s="170">
        <v>0.04</v>
      </c>
      <c r="AA117" s="208">
        <v>3.6999999999999998E-2</v>
      </c>
      <c r="AB117" s="161">
        <v>3.5999999999999997E-2</v>
      </c>
      <c r="AC117" s="165">
        <v>3.4000000000000002E-2</v>
      </c>
      <c r="AD117" s="167">
        <v>3.3000000000000002E-2</v>
      </c>
      <c r="AE117" s="158"/>
      <c r="AF117" s="158"/>
      <c r="AH117" s="241" t="s">
        <v>285</v>
      </c>
      <c r="AI117" s="158">
        <v>27</v>
      </c>
      <c r="AJ117" s="206">
        <v>6.0000000000000001E-3</v>
      </c>
      <c r="AK117" s="179">
        <v>2.1000000000000001E-2</v>
      </c>
      <c r="AL117" s="163">
        <v>2.9000000000000001E-2</v>
      </c>
      <c r="AM117" s="166">
        <v>3.5000000000000003E-2</v>
      </c>
      <c r="AN117" s="207">
        <v>4.1000000000000002E-2</v>
      </c>
      <c r="AO117" s="181">
        <v>4.2000000000000003E-2</v>
      </c>
      <c r="AP117" s="170">
        <v>0.04</v>
      </c>
      <c r="AQ117" s="208">
        <v>3.6999999999999998E-2</v>
      </c>
      <c r="AR117" s="161">
        <v>3.5999999999999997E-2</v>
      </c>
      <c r="AS117" s="165">
        <v>3.4000000000000002E-2</v>
      </c>
      <c r="AT117" s="167">
        <v>3.3000000000000002E-2</v>
      </c>
      <c r="AU117" s="158"/>
      <c r="AV117" s="158"/>
      <c r="AX117" s="241" t="s">
        <v>285</v>
      </c>
      <c r="AY117" s="158">
        <v>27</v>
      </c>
      <c r="AZ117" s="206">
        <v>6.0000000000000001E-3</v>
      </c>
      <c r="BA117" s="179">
        <v>2.1000000000000001E-2</v>
      </c>
      <c r="BB117" s="163">
        <v>2.9000000000000001E-2</v>
      </c>
      <c r="BC117" s="166">
        <v>3.5000000000000003E-2</v>
      </c>
      <c r="BD117" s="207">
        <v>4.1000000000000002E-2</v>
      </c>
      <c r="BE117" s="181">
        <v>4.2000000000000003E-2</v>
      </c>
      <c r="BF117" s="170">
        <v>0.04</v>
      </c>
      <c r="BG117" s="208">
        <v>3.6999999999999998E-2</v>
      </c>
      <c r="BH117" s="161">
        <v>3.5999999999999997E-2</v>
      </c>
      <c r="BI117" s="165">
        <v>3.4000000000000002E-2</v>
      </c>
      <c r="BJ117" s="167">
        <v>3.3000000000000002E-2</v>
      </c>
      <c r="BK117" s="158"/>
      <c r="BL117" s="158"/>
      <c r="BN117" s="241" t="s">
        <v>285</v>
      </c>
      <c r="BO117" s="158">
        <v>27</v>
      </c>
      <c r="BP117" s="206">
        <v>6.0000000000000001E-3</v>
      </c>
      <c r="BQ117" s="179">
        <v>2.1000000000000001E-2</v>
      </c>
      <c r="BR117" s="163">
        <v>2.9000000000000001E-2</v>
      </c>
      <c r="BS117" s="166">
        <v>3.5000000000000003E-2</v>
      </c>
      <c r="BT117" s="207">
        <v>4.1000000000000002E-2</v>
      </c>
      <c r="BU117" s="181">
        <v>4.2000000000000003E-2</v>
      </c>
      <c r="BV117" s="170">
        <v>0.04</v>
      </c>
      <c r="BW117" s="208">
        <v>3.6999999999999998E-2</v>
      </c>
      <c r="BX117" s="161">
        <v>3.5999999999999997E-2</v>
      </c>
      <c r="BY117" s="165">
        <v>3.4000000000000002E-2</v>
      </c>
      <c r="BZ117" s="167">
        <v>3.3000000000000002E-2</v>
      </c>
      <c r="CA117" s="158"/>
      <c r="CB117" s="158"/>
      <c r="CD117" s="241" t="s">
        <v>285</v>
      </c>
      <c r="CE117" s="158">
        <v>27</v>
      </c>
      <c r="CF117" s="158"/>
      <c r="CG117" s="206">
        <v>6.0000000000000001E-3</v>
      </c>
      <c r="CH117" s="179">
        <v>2.1000000000000001E-2</v>
      </c>
      <c r="CI117" s="163">
        <v>2.9000000000000001E-2</v>
      </c>
      <c r="CJ117" s="166">
        <v>3.5000000000000003E-2</v>
      </c>
      <c r="CK117" s="207">
        <v>4.1000000000000002E-2</v>
      </c>
      <c r="CL117" s="181">
        <v>4.2000000000000003E-2</v>
      </c>
      <c r="CM117" s="170">
        <v>0.04</v>
      </c>
      <c r="CN117" s="208">
        <v>3.6999999999999998E-2</v>
      </c>
      <c r="CO117" s="161">
        <v>3.5999999999999997E-2</v>
      </c>
      <c r="CP117" s="165">
        <v>3.4000000000000002E-2</v>
      </c>
      <c r="CQ117" s="167">
        <v>3.3000000000000002E-2</v>
      </c>
      <c r="CR117" s="158"/>
      <c r="CS117" s="158"/>
      <c r="CU117" s="241" t="s">
        <v>285</v>
      </c>
      <c r="CV117" s="158">
        <v>27</v>
      </c>
      <c r="CW117" s="206">
        <v>6.0000000000000001E-3</v>
      </c>
      <c r="CX117" s="179">
        <v>2.1000000000000001E-2</v>
      </c>
      <c r="CY117" s="163">
        <v>2.9000000000000001E-2</v>
      </c>
      <c r="CZ117" s="166">
        <v>3.5000000000000003E-2</v>
      </c>
      <c r="DA117" s="207">
        <v>4.1000000000000002E-2</v>
      </c>
      <c r="DB117" s="181">
        <v>4.2000000000000003E-2</v>
      </c>
      <c r="DC117" s="170">
        <v>0.04</v>
      </c>
      <c r="DD117" s="208">
        <v>3.6999999999999998E-2</v>
      </c>
      <c r="DE117" s="161">
        <v>3.5999999999999997E-2</v>
      </c>
      <c r="DF117" s="165">
        <v>3.4000000000000002E-2</v>
      </c>
      <c r="DG117" s="167">
        <v>3.3000000000000002E-2</v>
      </c>
      <c r="DH117" s="158"/>
      <c r="DI117" s="158"/>
    </row>
    <row r="118" spans="1:113" x14ac:dyDescent="0.2">
      <c r="A118" s="363"/>
      <c r="B118" s="241" t="s">
        <v>286</v>
      </c>
      <c r="C118" s="169">
        <v>27.5</v>
      </c>
      <c r="D118" s="177">
        <v>6.0000000000000001E-3</v>
      </c>
      <c r="E118" s="198">
        <v>0.02</v>
      </c>
      <c r="F118" s="209">
        <v>3.2000000000000001E-2</v>
      </c>
      <c r="G118" s="182">
        <v>0.04</v>
      </c>
      <c r="H118" s="172">
        <v>4.2999999999999997E-2</v>
      </c>
      <c r="I118" s="210">
        <v>4.2999999999999997E-2</v>
      </c>
      <c r="J118" s="211">
        <v>4.1000000000000002E-2</v>
      </c>
      <c r="K118" s="201">
        <v>3.7999999999999999E-2</v>
      </c>
      <c r="L118" s="174">
        <v>3.6999999999999998E-2</v>
      </c>
      <c r="M118" s="166">
        <v>3.5000000000000003E-2</v>
      </c>
      <c r="N118" s="158"/>
      <c r="O118" s="158"/>
      <c r="P118" s="158"/>
      <c r="R118" s="241" t="s">
        <v>286</v>
      </c>
      <c r="S118" s="169">
        <v>27.5</v>
      </c>
      <c r="T118" s="177">
        <v>6.0000000000000001E-3</v>
      </c>
      <c r="U118" s="198">
        <v>0.02</v>
      </c>
      <c r="V118" s="209">
        <v>3.2000000000000001E-2</v>
      </c>
      <c r="W118" s="182">
        <v>0.04</v>
      </c>
      <c r="X118" s="172">
        <v>4.2999999999999997E-2</v>
      </c>
      <c r="Y118" s="210">
        <v>4.2999999999999997E-2</v>
      </c>
      <c r="Z118" s="211">
        <v>4.1000000000000002E-2</v>
      </c>
      <c r="AA118" s="201">
        <v>3.7999999999999999E-2</v>
      </c>
      <c r="AB118" s="174">
        <v>3.6999999999999998E-2</v>
      </c>
      <c r="AC118" s="166">
        <v>3.5000000000000003E-2</v>
      </c>
      <c r="AD118" s="158"/>
      <c r="AE118" s="158"/>
      <c r="AF118" s="158"/>
      <c r="AH118" s="241" t="s">
        <v>286</v>
      </c>
      <c r="AI118" s="169">
        <v>27.5</v>
      </c>
      <c r="AJ118" s="177">
        <v>6.0000000000000001E-3</v>
      </c>
      <c r="AK118" s="198">
        <v>0.02</v>
      </c>
      <c r="AL118" s="209">
        <v>3.2000000000000001E-2</v>
      </c>
      <c r="AM118" s="182">
        <v>0.04</v>
      </c>
      <c r="AN118" s="172">
        <v>4.2999999999999997E-2</v>
      </c>
      <c r="AO118" s="210">
        <v>4.2999999999999997E-2</v>
      </c>
      <c r="AP118" s="211">
        <v>4.1000000000000002E-2</v>
      </c>
      <c r="AQ118" s="201">
        <v>3.7999999999999999E-2</v>
      </c>
      <c r="AR118" s="174">
        <v>3.6999999999999998E-2</v>
      </c>
      <c r="AS118" s="166">
        <v>3.5000000000000003E-2</v>
      </c>
      <c r="AT118" s="158"/>
      <c r="AU118" s="158"/>
      <c r="AV118" s="158"/>
      <c r="AX118" s="241" t="s">
        <v>286</v>
      </c>
      <c r="AY118" s="169">
        <v>27.5</v>
      </c>
      <c r="AZ118" s="177">
        <v>6.0000000000000001E-3</v>
      </c>
      <c r="BA118" s="198">
        <v>0.02</v>
      </c>
      <c r="BB118" s="209">
        <v>3.2000000000000001E-2</v>
      </c>
      <c r="BC118" s="182">
        <v>0.04</v>
      </c>
      <c r="BD118" s="172">
        <v>4.2999999999999997E-2</v>
      </c>
      <c r="BE118" s="210">
        <v>4.2999999999999997E-2</v>
      </c>
      <c r="BF118" s="211">
        <v>4.1000000000000002E-2</v>
      </c>
      <c r="BG118" s="201">
        <v>3.7999999999999999E-2</v>
      </c>
      <c r="BH118" s="174">
        <v>3.6999999999999998E-2</v>
      </c>
      <c r="BI118" s="166">
        <v>3.5000000000000003E-2</v>
      </c>
      <c r="BJ118" s="158"/>
      <c r="BK118" s="158"/>
      <c r="BL118" s="158"/>
      <c r="BN118" s="241" t="s">
        <v>286</v>
      </c>
      <c r="BO118" s="169">
        <v>27.5</v>
      </c>
      <c r="BP118" s="177">
        <v>6.0000000000000001E-3</v>
      </c>
      <c r="BQ118" s="198">
        <v>0.02</v>
      </c>
      <c r="BR118" s="209">
        <v>3.2000000000000001E-2</v>
      </c>
      <c r="BS118" s="182">
        <v>0.04</v>
      </c>
      <c r="BT118" s="172">
        <v>4.2999999999999997E-2</v>
      </c>
      <c r="BU118" s="210">
        <v>4.2999999999999997E-2</v>
      </c>
      <c r="BV118" s="211">
        <v>4.1000000000000002E-2</v>
      </c>
      <c r="BW118" s="201">
        <v>3.7999999999999999E-2</v>
      </c>
      <c r="BX118" s="174">
        <v>3.6999999999999998E-2</v>
      </c>
      <c r="BY118" s="166">
        <v>3.5000000000000003E-2</v>
      </c>
      <c r="BZ118" s="158"/>
      <c r="CA118" s="158"/>
      <c r="CB118" s="158"/>
      <c r="CD118" s="241" t="s">
        <v>286</v>
      </c>
      <c r="CE118" s="169">
        <v>27.5</v>
      </c>
      <c r="CF118" s="169"/>
      <c r="CG118" s="177">
        <v>6.0000000000000001E-3</v>
      </c>
      <c r="CH118" s="198">
        <v>0.02</v>
      </c>
      <c r="CI118" s="209">
        <v>3.2000000000000001E-2</v>
      </c>
      <c r="CJ118" s="182">
        <v>0.04</v>
      </c>
      <c r="CK118" s="172">
        <v>4.2999999999999997E-2</v>
      </c>
      <c r="CL118" s="210">
        <v>4.2999999999999997E-2</v>
      </c>
      <c r="CM118" s="211">
        <v>4.1000000000000002E-2</v>
      </c>
      <c r="CN118" s="201">
        <v>3.7999999999999999E-2</v>
      </c>
      <c r="CO118" s="174">
        <v>3.6999999999999998E-2</v>
      </c>
      <c r="CP118" s="166">
        <v>3.5000000000000003E-2</v>
      </c>
      <c r="CQ118" s="158"/>
      <c r="CR118" s="158"/>
      <c r="CS118" s="158"/>
      <c r="CU118" s="241" t="s">
        <v>286</v>
      </c>
      <c r="CV118" s="169">
        <v>27.5</v>
      </c>
      <c r="CW118" s="177">
        <v>6.0000000000000001E-3</v>
      </c>
      <c r="CX118" s="198">
        <v>0.02</v>
      </c>
      <c r="CY118" s="209">
        <v>3.2000000000000001E-2</v>
      </c>
      <c r="CZ118" s="182">
        <v>0.04</v>
      </c>
      <c r="DA118" s="172">
        <v>4.2999999999999997E-2</v>
      </c>
      <c r="DB118" s="210">
        <v>4.2999999999999997E-2</v>
      </c>
      <c r="DC118" s="211">
        <v>4.1000000000000002E-2</v>
      </c>
      <c r="DD118" s="201">
        <v>3.7999999999999999E-2</v>
      </c>
      <c r="DE118" s="174">
        <v>3.6999999999999998E-2</v>
      </c>
      <c r="DF118" s="166">
        <v>3.5000000000000003E-2</v>
      </c>
      <c r="DG118" s="158"/>
      <c r="DH118" s="158"/>
      <c r="DI118" s="158"/>
    </row>
    <row r="119" spans="1:113" x14ac:dyDescent="0.2">
      <c r="A119" s="363"/>
      <c r="B119" s="241" t="s">
        <v>287</v>
      </c>
      <c r="C119" s="169">
        <v>31.8</v>
      </c>
      <c r="D119" s="188">
        <v>7.0000000000000001E-3</v>
      </c>
      <c r="E119" s="212">
        <v>2.3E-2</v>
      </c>
      <c r="F119" s="190">
        <v>3.3000000000000002E-2</v>
      </c>
      <c r="G119" s="184">
        <v>3.9E-2</v>
      </c>
      <c r="H119" s="213">
        <v>4.3999999999999997E-2</v>
      </c>
      <c r="I119" s="210">
        <v>4.2999999999999997E-2</v>
      </c>
      <c r="J119" s="214">
        <v>4.2000000000000003E-2</v>
      </c>
      <c r="K119" s="173">
        <v>3.9E-2</v>
      </c>
      <c r="L119" s="174">
        <v>3.6999999999999998E-2</v>
      </c>
      <c r="M119" s="158"/>
      <c r="N119" s="158"/>
      <c r="O119" s="158"/>
      <c r="P119" s="158"/>
      <c r="R119" s="241" t="s">
        <v>287</v>
      </c>
      <c r="S119" s="169">
        <v>31.8</v>
      </c>
      <c r="T119" s="188">
        <v>7.0000000000000001E-3</v>
      </c>
      <c r="U119" s="212">
        <v>2.3E-2</v>
      </c>
      <c r="V119" s="190">
        <v>3.3000000000000002E-2</v>
      </c>
      <c r="W119" s="184">
        <v>3.9E-2</v>
      </c>
      <c r="X119" s="213">
        <v>4.3999999999999997E-2</v>
      </c>
      <c r="Y119" s="210">
        <v>4.2999999999999997E-2</v>
      </c>
      <c r="Z119" s="214">
        <v>4.2000000000000003E-2</v>
      </c>
      <c r="AA119" s="173">
        <v>3.9E-2</v>
      </c>
      <c r="AB119" s="174">
        <v>3.6999999999999998E-2</v>
      </c>
      <c r="AC119" s="158"/>
      <c r="AD119" s="158"/>
      <c r="AE119" s="158"/>
      <c r="AF119" s="158"/>
      <c r="AH119" s="241" t="s">
        <v>287</v>
      </c>
      <c r="AI119" s="169">
        <v>31.8</v>
      </c>
      <c r="AJ119" s="188">
        <v>7.0000000000000001E-3</v>
      </c>
      <c r="AK119" s="212">
        <v>2.3E-2</v>
      </c>
      <c r="AL119" s="190">
        <v>3.3000000000000002E-2</v>
      </c>
      <c r="AM119" s="184">
        <v>3.9E-2</v>
      </c>
      <c r="AN119" s="213">
        <v>4.3999999999999997E-2</v>
      </c>
      <c r="AO119" s="210">
        <v>4.2999999999999997E-2</v>
      </c>
      <c r="AP119" s="214">
        <v>4.2000000000000003E-2</v>
      </c>
      <c r="AQ119" s="173">
        <v>3.9E-2</v>
      </c>
      <c r="AR119" s="174">
        <v>3.6999999999999998E-2</v>
      </c>
      <c r="AS119" s="158"/>
      <c r="AT119" s="158"/>
      <c r="AU119" s="158"/>
      <c r="AV119" s="158"/>
      <c r="AX119" s="241" t="s">
        <v>287</v>
      </c>
      <c r="AY119" s="169">
        <v>31.8</v>
      </c>
      <c r="AZ119" s="188">
        <v>7.0000000000000001E-3</v>
      </c>
      <c r="BA119" s="212">
        <v>2.3E-2</v>
      </c>
      <c r="BB119" s="190">
        <v>3.3000000000000002E-2</v>
      </c>
      <c r="BC119" s="184">
        <v>3.9E-2</v>
      </c>
      <c r="BD119" s="213">
        <v>4.3999999999999997E-2</v>
      </c>
      <c r="BE119" s="210">
        <v>4.2999999999999997E-2</v>
      </c>
      <c r="BF119" s="214">
        <v>4.2000000000000003E-2</v>
      </c>
      <c r="BG119" s="173">
        <v>3.9E-2</v>
      </c>
      <c r="BH119" s="174">
        <v>3.6999999999999998E-2</v>
      </c>
      <c r="BI119" s="158"/>
      <c r="BJ119" s="158"/>
      <c r="BK119" s="158"/>
      <c r="BL119" s="158"/>
      <c r="BN119" s="241" t="s">
        <v>287</v>
      </c>
      <c r="BO119" s="169">
        <v>31.8</v>
      </c>
      <c r="BP119" s="188">
        <v>7.0000000000000001E-3</v>
      </c>
      <c r="BQ119" s="212">
        <v>2.3E-2</v>
      </c>
      <c r="BR119" s="190">
        <v>3.3000000000000002E-2</v>
      </c>
      <c r="BS119" s="184">
        <v>3.9E-2</v>
      </c>
      <c r="BT119" s="213">
        <v>4.3999999999999997E-2</v>
      </c>
      <c r="BU119" s="210">
        <v>4.2999999999999997E-2</v>
      </c>
      <c r="BV119" s="214">
        <v>4.2000000000000003E-2</v>
      </c>
      <c r="BW119" s="173">
        <v>3.9E-2</v>
      </c>
      <c r="BX119" s="174">
        <v>3.6999999999999998E-2</v>
      </c>
      <c r="BY119" s="158"/>
      <c r="BZ119" s="158"/>
      <c r="CA119" s="158"/>
      <c r="CB119" s="158"/>
      <c r="CD119" s="241" t="s">
        <v>287</v>
      </c>
      <c r="CE119" s="169">
        <v>31.8</v>
      </c>
      <c r="CF119" s="169"/>
      <c r="CG119" s="188">
        <v>7.0000000000000001E-3</v>
      </c>
      <c r="CH119" s="212">
        <v>2.3E-2</v>
      </c>
      <c r="CI119" s="190">
        <v>3.3000000000000002E-2</v>
      </c>
      <c r="CJ119" s="184">
        <v>3.9E-2</v>
      </c>
      <c r="CK119" s="213">
        <v>4.3999999999999997E-2</v>
      </c>
      <c r="CL119" s="210">
        <v>4.2999999999999997E-2</v>
      </c>
      <c r="CM119" s="214">
        <v>4.2000000000000003E-2</v>
      </c>
      <c r="CN119" s="173">
        <v>3.9E-2</v>
      </c>
      <c r="CO119" s="174">
        <v>3.6999999999999998E-2</v>
      </c>
      <c r="CP119" s="158"/>
      <c r="CQ119" s="158"/>
      <c r="CR119" s="158"/>
      <c r="CS119" s="158"/>
      <c r="CU119" s="241" t="s">
        <v>287</v>
      </c>
      <c r="CV119" s="169">
        <v>31.8</v>
      </c>
      <c r="CW119" s="188">
        <v>7.0000000000000001E-3</v>
      </c>
      <c r="CX119" s="212">
        <v>2.3E-2</v>
      </c>
      <c r="CY119" s="190">
        <v>3.3000000000000002E-2</v>
      </c>
      <c r="CZ119" s="184">
        <v>3.9E-2</v>
      </c>
      <c r="DA119" s="213">
        <v>4.3999999999999997E-2</v>
      </c>
      <c r="DB119" s="210">
        <v>4.2999999999999997E-2</v>
      </c>
      <c r="DC119" s="214">
        <v>4.2000000000000003E-2</v>
      </c>
      <c r="DD119" s="173">
        <v>3.9E-2</v>
      </c>
      <c r="DE119" s="174">
        <v>3.6999999999999998E-2</v>
      </c>
      <c r="DF119" s="158"/>
      <c r="DG119" s="158"/>
      <c r="DH119" s="158"/>
      <c r="DI119" s="158"/>
    </row>
    <row r="120" spans="1:113" x14ac:dyDescent="0.2">
      <c r="A120" s="363"/>
      <c r="B120" s="241" t="s">
        <v>288</v>
      </c>
      <c r="C120" s="169">
        <v>32.799999999999997</v>
      </c>
      <c r="D120" s="215">
        <v>8.9999999999999993E-3</v>
      </c>
      <c r="E120" s="216">
        <v>2.7E-2</v>
      </c>
      <c r="F120" s="193">
        <v>3.5999999999999997E-2</v>
      </c>
      <c r="G120" s="213">
        <v>4.3999999999999997E-2</v>
      </c>
      <c r="H120" s="217">
        <v>4.8000000000000001E-2</v>
      </c>
      <c r="I120" s="218">
        <v>4.9000000000000002E-2</v>
      </c>
      <c r="J120" s="171">
        <v>4.7E-2</v>
      </c>
      <c r="K120" s="213">
        <v>4.3999999999999997E-2</v>
      </c>
      <c r="L120" s="158"/>
      <c r="M120" s="158"/>
      <c r="N120" s="158"/>
      <c r="O120" s="158"/>
      <c r="P120" s="158"/>
      <c r="R120" s="241" t="s">
        <v>288</v>
      </c>
      <c r="S120" s="169">
        <v>32.799999999999997</v>
      </c>
      <c r="T120" s="215">
        <v>8.9999999999999993E-3</v>
      </c>
      <c r="U120" s="216">
        <v>2.7E-2</v>
      </c>
      <c r="V120" s="193">
        <v>3.5999999999999997E-2</v>
      </c>
      <c r="W120" s="213">
        <v>4.3999999999999997E-2</v>
      </c>
      <c r="X120" s="217">
        <v>4.8000000000000001E-2</v>
      </c>
      <c r="Y120" s="218">
        <v>4.9000000000000002E-2</v>
      </c>
      <c r="Z120" s="171">
        <v>4.7E-2</v>
      </c>
      <c r="AA120" s="213">
        <v>4.3999999999999997E-2</v>
      </c>
      <c r="AB120" s="158"/>
      <c r="AC120" s="158"/>
      <c r="AD120" s="158"/>
      <c r="AE120" s="158"/>
      <c r="AF120" s="158"/>
      <c r="AH120" s="241" t="s">
        <v>288</v>
      </c>
      <c r="AI120" s="169">
        <v>32.799999999999997</v>
      </c>
      <c r="AJ120" s="215">
        <v>8.9999999999999993E-3</v>
      </c>
      <c r="AK120" s="216">
        <v>2.7E-2</v>
      </c>
      <c r="AL120" s="193">
        <v>3.5999999999999997E-2</v>
      </c>
      <c r="AM120" s="213">
        <v>4.3999999999999997E-2</v>
      </c>
      <c r="AN120" s="217">
        <v>4.8000000000000001E-2</v>
      </c>
      <c r="AO120" s="218">
        <v>4.9000000000000002E-2</v>
      </c>
      <c r="AP120" s="171">
        <v>4.7E-2</v>
      </c>
      <c r="AQ120" s="213">
        <v>4.3999999999999997E-2</v>
      </c>
      <c r="AR120" s="158"/>
      <c r="AS120" s="158"/>
      <c r="AT120" s="158"/>
      <c r="AU120" s="158"/>
      <c r="AV120" s="158"/>
      <c r="AX120" s="241" t="s">
        <v>288</v>
      </c>
      <c r="AY120" s="169">
        <v>32.799999999999997</v>
      </c>
      <c r="AZ120" s="215">
        <v>8.9999999999999993E-3</v>
      </c>
      <c r="BA120" s="216">
        <v>2.7E-2</v>
      </c>
      <c r="BB120" s="193">
        <v>3.5999999999999997E-2</v>
      </c>
      <c r="BC120" s="213">
        <v>4.3999999999999997E-2</v>
      </c>
      <c r="BD120" s="217">
        <v>4.8000000000000001E-2</v>
      </c>
      <c r="BE120" s="218">
        <v>4.9000000000000002E-2</v>
      </c>
      <c r="BF120" s="171">
        <v>4.7E-2</v>
      </c>
      <c r="BG120" s="213">
        <v>4.3999999999999997E-2</v>
      </c>
      <c r="BH120" s="158"/>
      <c r="BI120" s="158"/>
      <c r="BJ120" s="158"/>
      <c r="BK120" s="158"/>
      <c r="BL120" s="158"/>
      <c r="BN120" s="241" t="s">
        <v>288</v>
      </c>
      <c r="BO120" s="169">
        <v>32.799999999999997</v>
      </c>
      <c r="BP120" s="215">
        <v>8.9999999999999993E-3</v>
      </c>
      <c r="BQ120" s="216">
        <v>2.7E-2</v>
      </c>
      <c r="BR120" s="193">
        <v>3.5999999999999997E-2</v>
      </c>
      <c r="BS120" s="213">
        <v>4.3999999999999997E-2</v>
      </c>
      <c r="BT120" s="217">
        <v>4.8000000000000001E-2</v>
      </c>
      <c r="BU120" s="218">
        <v>4.9000000000000002E-2</v>
      </c>
      <c r="BV120" s="171">
        <v>4.7E-2</v>
      </c>
      <c r="BW120" s="213">
        <v>4.3999999999999997E-2</v>
      </c>
      <c r="BX120" s="158"/>
      <c r="BY120" s="158"/>
      <c r="BZ120" s="158"/>
      <c r="CA120" s="158"/>
      <c r="CB120" s="158"/>
      <c r="CD120" s="241" t="s">
        <v>288</v>
      </c>
      <c r="CE120" s="169">
        <v>32.799999999999997</v>
      </c>
      <c r="CF120" s="169"/>
      <c r="CG120" s="215">
        <v>8.9999999999999993E-3</v>
      </c>
      <c r="CH120" s="216">
        <v>2.7E-2</v>
      </c>
      <c r="CI120" s="193">
        <v>3.5999999999999997E-2</v>
      </c>
      <c r="CJ120" s="213">
        <v>4.3999999999999997E-2</v>
      </c>
      <c r="CK120" s="217">
        <v>4.8000000000000001E-2</v>
      </c>
      <c r="CL120" s="218">
        <v>4.9000000000000002E-2</v>
      </c>
      <c r="CM120" s="171">
        <v>4.7E-2</v>
      </c>
      <c r="CN120" s="213">
        <v>4.3999999999999997E-2</v>
      </c>
      <c r="CO120" s="158"/>
      <c r="CP120" s="158"/>
      <c r="CQ120" s="158"/>
      <c r="CR120" s="158"/>
      <c r="CS120" s="158"/>
      <c r="CU120" s="241" t="s">
        <v>288</v>
      </c>
      <c r="CV120" s="169">
        <v>32.799999999999997</v>
      </c>
      <c r="CW120" s="215">
        <v>8.9999999999999993E-3</v>
      </c>
      <c r="CX120" s="216">
        <v>2.7E-2</v>
      </c>
      <c r="CY120" s="193">
        <v>3.5999999999999997E-2</v>
      </c>
      <c r="CZ120" s="213">
        <v>4.3999999999999997E-2</v>
      </c>
      <c r="DA120" s="217">
        <v>4.8000000000000001E-2</v>
      </c>
      <c r="DB120" s="218">
        <v>4.9000000000000002E-2</v>
      </c>
      <c r="DC120" s="171">
        <v>4.7E-2</v>
      </c>
      <c r="DD120" s="213">
        <v>4.3999999999999997E-2</v>
      </c>
      <c r="DE120" s="158"/>
      <c r="DF120" s="158"/>
      <c r="DG120" s="158"/>
      <c r="DH120" s="158"/>
      <c r="DI120" s="158"/>
    </row>
    <row r="121" spans="1:113" x14ac:dyDescent="0.2">
      <c r="A121" s="363"/>
      <c r="B121" s="241" t="s">
        <v>289</v>
      </c>
      <c r="C121" s="169">
        <v>32.6</v>
      </c>
      <c r="D121" s="183">
        <v>8.0000000000000002E-3</v>
      </c>
      <c r="E121" s="178">
        <v>2.4E-2</v>
      </c>
      <c r="F121" s="189">
        <v>3.5000000000000003E-2</v>
      </c>
      <c r="G121" s="180">
        <v>4.2999999999999997E-2</v>
      </c>
      <c r="H121" s="219">
        <v>4.7E-2</v>
      </c>
      <c r="I121" s="220">
        <v>4.8000000000000001E-2</v>
      </c>
      <c r="J121" s="221">
        <v>4.5999999999999999E-2</v>
      </c>
      <c r="K121" s="158"/>
      <c r="L121" s="158"/>
      <c r="M121" s="158"/>
      <c r="N121" s="158"/>
      <c r="O121" s="158"/>
      <c r="P121" s="158"/>
      <c r="R121" s="241" t="s">
        <v>289</v>
      </c>
      <c r="S121" s="169">
        <v>32.6</v>
      </c>
      <c r="T121" s="183">
        <v>8.0000000000000002E-3</v>
      </c>
      <c r="U121" s="178">
        <v>2.4E-2</v>
      </c>
      <c r="V121" s="189">
        <v>3.5000000000000003E-2</v>
      </c>
      <c r="W121" s="180">
        <v>4.2999999999999997E-2</v>
      </c>
      <c r="X121" s="219">
        <v>4.7E-2</v>
      </c>
      <c r="Y121" s="220">
        <v>4.8000000000000001E-2</v>
      </c>
      <c r="Z121" s="221">
        <v>4.5999999999999999E-2</v>
      </c>
      <c r="AA121" s="158"/>
      <c r="AB121" s="158"/>
      <c r="AC121" s="158"/>
      <c r="AD121" s="158"/>
      <c r="AE121" s="158"/>
      <c r="AF121" s="158"/>
      <c r="AH121" s="241" t="s">
        <v>289</v>
      </c>
      <c r="AI121" s="169">
        <v>32.6</v>
      </c>
      <c r="AJ121" s="183">
        <v>8.0000000000000002E-3</v>
      </c>
      <c r="AK121" s="178">
        <v>2.4E-2</v>
      </c>
      <c r="AL121" s="189">
        <v>3.5000000000000003E-2</v>
      </c>
      <c r="AM121" s="180">
        <v>4.2999999999999997E-2</v>
      </c>
      <c r="AN121" s="219">
        <v>4.7E-2</v>
      </c>
      <c r="AO121" s="220">
        <v>4.8000000000000001E-2</v>
      </c>
      <c r="AP121" s="221">
        <v>4.5999999999999999E-2</v>
      </c>
      <c r="AQ121" s="158"/>
      <c r="AR121" s="158"/>
      <c r="AS121" s="158"/>
      <c r="AT121" s="158"/>
      <c r="AU121" s="158"/>
      <c r="AV121" s="158"/>
      <c r="AX121" s="241" t="s">
        <v>289</v>
      </c>
      <c r="AY121" s="169">
        <v>32.6</v>
      </c>
      <c r="AZ121" s="183">
        <v>8.0000000000000002E-3</v>
      </c>
      <c r="BA121" s="178">
        <v>2.4E-2</v>
      </c>
      <c r="BB121" s="189">
        <v>3.5000000000000003E-2</v>
      </c>
      <c r="BC121" s="180">
        <v>4.2999999999999997E-2</v>
      </c>
      <c r="BD121" s="219">
        <v>4.7E-2</v>
      </c>
      <c r="BE121" s="220">
        <v>4.8000000000000001E-2</v>
      </c>
      <c r="BF121" s="221">
        <v>4.5999999999999999E-2</v>
      </c>
      <c r="BG121" s="158"/>
      <c r="BH121" s="158"/>
      <c r="BI121" s="158"/>
      <c r="BJ121" s="158"/>
      <c r="BK121" s="158"/>
      <c r="BL121" s="158"/>
      <c r="BN121" s="241" t="s">
        <v>289</v>
      </c>
      <c r="BO121" s="169">
        <v>32.6</v>
      </c>
      <c r="BP121" s="183">
        <v>8.0000000000000002E-3</v>
      </c>
      <c r="BQ121" s="178">
        <v>2.4E-2</v>
      </c>
      <c r="BR121" s="189">
        <v>3.5000000000000003E-2</v>
      </c>
      <c r="BS121" s="180">
        <v>4.2999999999999997E-2</v>
      </c>
      <c r="BT121" s="219">
        <v>4.7E-2</v>
      </c>
      <c r="BU121" s="220">
        <v>4.8000000000000001E-2</v>
      </c>
      <c r="BV121" s="221">
        <v>4.5999999999999999E-2</v>
      </c>
      <c r="BW121" s="158"/>
      <c r="BX121" s="158"/>
      <c r="BY121" s="158"/>
      <c r="BZ121" s="158"/>
      <c r="CA121" s="158"/>
      <c r="CB121" s="158"/>
      <c r="CD121" s="241" t="s">
        <v>289</v>
      </c>
      <c r="CE121" s="169">
        <v>32.6</v>
      </c>
      <c r="CF121" s="169"/>
      <c r="CG121" s="183">
        <v>8.0000000000000002E-3</v>
      </c>
      <c r="CH121" s="178">
        <v>2.4E-2</v>
      </c>
      <c r="CI121" s="189">
        <v>3.5000000000000003E-2</v>
      </c>
      <c r="CJ121" s="180">
        <v>4.2999999999999997E-2</v>
      </c>
      <c r="CK121" s="219">
        <v>4.7E-2</v>
      </c>
      <c r="CL121" s="220">
        <v>4.8000000000000001E-2</v>
      </c>
      <c r="CM121" s="221">
        <v>4.5999999999999999E-2</v>
      </c>
      <c r="CN121" s="158"/>
      <c r="CO121" s="158"/>
      <c r="CP121" s="158"/>
      <c r="CQ121" s="158"/>
      <c r="CR121" s="158"/>
      <c r="CS121" s="158"/>
      <c r="CU121" s="241" t="s">
        <v>289</v>
      </c>
      <c r="CV121" s="169">
        <v>32.6</v>
      </c>
      <c r="CW121" s="183">
        <v>8.0000000000000002E-3</v>
      </c>
      <c r="CX121" s="178">
        <v>2.4E-2</v>
      </c>
      <c r="CY121" s="189">
        <v>3.5000000000000003E-2</v>
      </c>
      <c r="CZ121" s="180">
        <v>4.2999999999999997E-2</v>
      </c>
      <c r="DA121" s="219">
        <v>4.7E-2</v>
      </c>
      <c r="DB121" s="220">
        <v>4.8000000000000001E-2</v>
      </c>
      <c r="DC121" s="221">
        <v>4.5999999999999999E-2</v>
      </c>
      <c r="DD121" s="158"/>
      <c r="DE121" s="158"/>
      <c r="DF121" s="158"/>
      <c r="DG121" s="158"/>
      <c r="DH121" s="158"/>
      <c r="DI121" s="158"/>
    </row>
    <row r="122" spans="1:113" x14ac:dyDescent="0.2">
      <c r="A122" s="363"/>
      <c r="B122" s="241" t="s">
        <v>259</v>
      </c>
      <c r="C122" s="169">
        <v>37.9</v>
      </c>
      <c r="D122" s="176">
        <v>7.0000000000000001E-3</v>
      </c>
      <c r="E122" s="222">
        <v>2.4E-2</v>
      </c>
      <c r="F122" s="223">
        <v>3.6999999999999998E-2</v>
      </c>
      <c r="G122" s="217">
        <v>4.8000000000000001E-2</v>
      </c>
      <c r="H122" s="224">
        <v>5.3999999999999999E-2</v>
      </c>
      <c r="I122" s="225">
        <v>5.2999999999999999E-2</v>
      </c>
      <c r="J122" s="158"/>
      <c r="K122" s="158"/>
      <c r="L122" s="158"/>
      <c r="M122" s="158"/>
      <c r="N122" s="158"/>
      <c r="O122" s="158"/>
      <c r="P122" s="158"/>
      <c r="R122" s="241" t="s">
        <v>259</v>
      </c>
      <c r="S122" s="169">
        <v>37.9</v>
      </c>
      <c r="T122" s="176">
        <v>7.0000000000000001E-3</v>
      </c>
      <c r="U122" s="222">
        <v>2.4E-2</v>
      </c>
      <c r="V122" s="223">
        <v>3.6999999999999998E-2</v>
      </c>
      <c r="W122" s="217">
        <v>4.8000000000000001E-2</v>
      </c>
      <c r="X122" s="224">
        <v>5.3999999999999999E-2</v>
      </c>
      <c r="Y122" s="225">
        <v>5.2999999999999999E-2</v>
      </c>
      <c r="Z122" s="158"/>
      <c r="AA122" s="158"/>
      <c r="AB122" s="158"/>
      <c r="AC122" s="158"/>
      <c r="AD122" s="158"/>
      <c r="AE122" s="158"/>
      <c r="AF122" s="158"/>
      <c r="AH122" s="241" t="s">
        <v>259</v>
      </c>
      <c r="AI122" s="169">
        <v>37.9</v>
      </c>
      <c r="AJ122" s="176">
        <v>7.0000000000000001E-3</v>
      </c>
      <c r="AK122" s="222">
        <v>2.4E-2</v>
      </c>
      <c r="AL122" s="223">
        <v>3.6999999999999998E-2</v>
      </c>
      <c r="AM122" s="217">
        <v>4.8000000000000001E-2</v>
      </c>
      <c r="AN122" s="224">
        <v>5.3999999999999999E-2</v>
      </c>
      <c r="AO122" s="225">
        <v>5.2999999999999999E-2</v>
      </c>
      <c r="AP122" s="158"/>
      <c r="AQ122" s="158"/>
      <c r="AR122" s="158"/>
      <c r="AS122" s="158"/>
      <c r="AT122" s="158"/>
      <c r="AU122" s="158"/>
      <c r="AV122" s="158"/>
      <c r="AX122" s="241" t="s">
        <v>259</v>
      </c>
      <c r="AY122" s="169">
        <v>37.9</v>
      </c>
      <c r="AZ122" s="176">
        <v>7.0000000000000001E-3</v>
      </c>
      <c r="BA122" s="222">
        <v>2.4E-2</v>
      </c>
      <c r="BB122" s="223">
        <v>3.6999999999999998E-2</v>
      </c>
      <c r="BC122" s="217">
        <v>4.8000000000000001E-2</v>
      </c>
      <c r="BD122" s="224">
        <v>5.3999999999999999E-2</v>
      </c>
      <c r="BE122" s="225">
        <v>5.2999999999999999E-2</v>
      </c>
      <c r="BF122" s="158"/>
      <c r="BG122" s="158"/>
      <c r="BH122" s="158"/>
      <c r="BI122" s="158"/>
      <c r="BJ122" s="158"/>
      <c r="BK122" s="158"/>
      <c r="BL122" s="158"/>
      <c r="BN122" s="241" t="s">
        <v>259</v>
      </c>
      <c r="BO122" s="169">
        <v>37.9</v>
      </c>
      <c r="BP122" s="176">
        <v>7.0000000000000001E-3</v>
      </c>
      <c r="BQ122" s="222">
        <v>2.4E-2</v>
      </c>
      <c r="BR122" s="223">
        <v>3.6999999999999998E-2</v>
      </c>
      <c r="BS122" s="217">
        <v>4.8000000000000001E-2</v>
      </c>
      <c r="BT122" s="224">
        <v>5.3999999999999999E-2</v>
      </c>
      <c r="BU122" s="225">
        <v>5.2999999999999999E-2</v>
      </c>
      <c r="BV122" s="158"/>
      <c r="BW122" s="158"/>
      <c r="BX122" s="158"/>
      <c r="BY122" s="158"/>
      <c r="BZ122" s="158"/>
      <c r="CA122" s="158"/>
      <c r="CB122" s="158"/>
      <c r="CD122" s="241" t="s">
        <v>259</v>
      </c>
      <c r="CE122" s="169">
        <v>37.9</v>
      </c>
      <c r="CF122" s="169"/>
      <c r="CG122" s="176">
        <v>7.0000000000000001E-3</v>
      </c>
      <c r="CH122" s="222">
        <v>2.4E-2</v>
      </c>
      <c r="CI122" s="223">
        <v>3.6999999999999998E-2</v>
      </c>
      <c r="CJ122" s="217">
        <v>4.8000000000000001E-2</v>
      </c>
      <c r="CK122" s="224">
        <v>5.3999999999999999E-2</v>
      </c>
      <c r="CL122" s="225">
        <v>5.2999999999999999E-2</v>
      </c>
      <c r="CM122" s="158"/>
      <c r="CN122" s="158"/>
      <c r="CO122" s="158"/>
      <c r="CP122" s="158"/>
      <c r="CQ122" s="158"/>
      <c r="CR122" s="158"/>
      <c r="CS122" s="158"/>
      <c r="CU122" s="241" t="s">
        <v>259</v>
      </c>
      <c r="CV122" s="169">
        <v>37.9</v>
      </c>
      <c r="CW122" s="176">
        <v>7.0000000000000001E-3</v>
      </c>
      <c r="CX122" s="222">
        <v>2.4E-2</v>
      </c>
      <c r="CY122" s="223">
        <v>3.6999999999999998E-2</v>
      </c>
      <c r="CZ122" s="217">
        <v>4.8000000000000001E-2</v>
      </c>
      <c r="DA122" s="224">
        <v>5.3999999999999999E-2</v>
      </c>
      <c r="DB122" s="225">
        <v>5.2999999999999999E-2</v>
      </c>
      <c r="DC122" s="158"/>
      <c r="DD122" s="158"/>
      <c r="DE122" s="158"/>
      <c r="DF122" s="158"/>
      <c r="DG122" s="158"/>
      <c r="DH122" s="158"/>
      <c r="DI122" s="158"/>
    </row>
    <row r="123" spans="1:113" x14ac:dyDescent="0.2">
      <c r="A123" s="363"/>
      <c r="B123" s="241" t="s">
        <v>260</v>
      </c>
      <c r="C123" s="169">
        <v>51.8</v>
      </c>
      <c r="D123" s="164">
        <v>8.9999999999999993E-3</v>
      </c>
      <c r="E123" s="226">
        <v>2.5000000000000001E-2</v>
      </c>
      <c r="F123" s="160">
        <v>3.5999999999999997E-2</v>
      </c>
      <c r="G123" s="227">
        <v>4.7E-2</v>
      </c>
      <c r="H123" s="228">
        <v>0.05</v>
      </c>
      <c r="I123" s="158"/>
      <c r="J123" s="158"/>
      <c r="K123" s="158"/>
      <c r="L123" s="158"/>
      <c r="M123" s="158"/>
      <c r="N123" s="158"/>
      <c r="O123" s="158"/>
      <c r="P123" s="158"/>
      <c r="R123" s="241" t="s">
        <v>260</v>
      </c>
      <c r="S123" s="169">
        <v>51.8</v>
      </c>
      <c r="T123" s="164">
        <v>8.9999999999999993E-3</v>
      </c>
      <c r="U123" s="226">
        <v>2.5000000000000001E-2</v>
      </c>
      <c r="V123" s="160">
        <v>3.5999999999999997E-2</v>
      </c>
      <c r="W123" s="227">
        <v>4.7E-2</v>
      </c>
      <c r="X123" s="228">
        <v>0.05</v>
      </c>
      <c r="Y123" s="158"/>
      <c r="Z123" s="158"/>
      <c r="AA123" s="158"/>
      <c r="AB123" s="158"/>
      <c r="AC123" s="158"/>
      <c r="AD123" s="158"/>
      <c r="AE123" s="158"/>
      <c r="AF123" s="158"/>
      <c r="AH123" s="241" t="s">
        <v>260</v>
      </c>
      <c r="AI123" s="169">
        <v>51.8</v>
      </c>
      <c r="AJ123" s="164">
        <v>8.9999999999999993E-3</v>
      </c>
      <c r="AK123" s="226">
        <v>2.5000000000000001E-2</v>
      </c>
      <c r="AL123" s="160">
        <v>3.5999999999999997E-2</v>
      </c>
      <c r="AM123" s="227">
        <v>4.7E-2</v>
      </c>
      <c r="AN123" s="228">
        <v>0.05</v>
      </c>
      <c r="AO123" s="158"/>
      <c r="AP123" s="158"/>
      <c r="AQ123" s="158"/>
      <c r="AR123" s="158"/>
      <c r="AS123" s="158"/>
      <c r="AT123" s="158"/>
      <c r="AU123" s="158"/>
      <c r="AV123" s="158"/>
      <c r="AX123" s="241" t="s">
        <v>260</v>
      </c>
      <c r="AY123" s="169">
        <v>51.8</v>
      </c>
      <c r="AZ123" s="164">
        <v>8.9999999999999993E-3</v>
      </c>
      <c r="BA123" s="226">
        <v>2.5000000000000001E-2</v>
      </c>
      <c r="BB123" s="160">
        <v>3.5999999999999997E-2</v>
      </c>
      <c r="BC123" s="227">
        <v>4.7E-2</v>
      </c>
      <c r="BD123" s="228">
        <v>0.05</v>
      </c>
      <c r="BE123" s="158"/>
      <c r="BF123" s="158"/>
      <c r="BG123" s="158"/>
      <c r="BH123" s="158"/>
      <c r="BI123" s="158"/>
      <c r="BJ123" s="158"/>
      <c r="BK123" s="158"/>
      <c r="BL123" s="158"/>
      <c r="BN123" s="241" t="s">
        <v>260</v>
      </c>
      <c r="BO123" s="169">
        <v>51.8</v>
      </c>
      <c r="BP123" s="164">
        <v>8.9999999999999993E-3</v>
      </c>
      <c r="BQ123" s="226">
        <v>2.5000000000000001E-2</v>
      </c>
      <c r="BR123" s="160">
        <v>3.5999999999999997E-2</v>
      </c>
      <c r="BS123" s="227">
        <v>4.7E-2</v>
      </c>
      <c r="BT123" s="228">
        <v>0.05</v>
      </c>
      <c r="BU123" s="158"/>
      <c r="BV123" s="158"/>
      <c r="BW123" s="158"/>
      <c r="BX123" s="158"/>
      <c r="BY123" s="158"/>
      <c r="BZ123" s="158"/>
      <c r="CA123" s="158"/>
      <c r="CB123" s="158"/>
      <c r="CD123" s="241" t="s">
        <v>260</v>
      </c>
      <c r="CE123" s="169">
        <v>51.8</v>
      </c>
      <c r="CF123" s="169"/>
      <c r="CG123" s="164">
        <v>8.9999999999999993E-3</v>
      </c>
      <c r="CH123" s="226">
        <v>2.5000000000000001E-2</v>
      </c>
      <c r="CI123" s="160">
        <v>3.5999999999999997E-2</v>
      </c>
      <c r="CJ123" s="227">
        <v>4.7E-2</v>
      </c>
      <c r="CK123" s="228">
        <v>0.05</v>
      </c>
      <c r="CL123" s="158"/>
      <c r="CM123" s="158"/>
      <c r="CN123" s="158"/>
      <c r="CO123" s="158"/>
      <c r="CP123" s="158"/>
      <c r="CQ123" s="158"/>
      <c r="CR123" s="158"/>
      <c r="CS123" s="158"/>
      <c r="CU123" s="241" t="s">
        <v>260</v>
      </c>
      <c r="CV123" s="169">
        <v>51.8</v>
      </c>
      <c r="CW123" s="164">
        <v>8.9999999999999993E-3</v>
      </c>
      <c r="CX123" s="226">
        <v>2.5000000000000001E-2</v>
      </c>
      <c r="CY123" s="160">
        <v>3.5999999999999997E-2</v>
      </c>
      <c r="CZ123" s="227">
        <v>4.7E-2</v>
      </c>
      <c r="DA123" s="228">
        <v>0.05</v>
      </c>
      <c r="DB123" s="158"/>
      <c r="DC123" s="158"/>
      <c r="DD123" s="158"/>
      <c r="DE123" s="158"/>
      <c r="DF123" s="158"/>
      <c r="DG123" s="158"/>
      <c r="DH123" s="158"/>
      <c r="DI123" s="158"/>
    </row>
    <row r="124" spans="1:113" x14ac:dyDescent="0.2">
      <c r="A124" s="363"/>
      <c r="B124" s="241" t="s">
        <v>261</v>
      </c>
      <c r="C124" s="169">
        <v>51.8</v>
      </c>
      <c r="D124" s="229">
        <v>7.0000000000000001E-3</v>
      </c>
      <c r="E124" s="230">
        <v>2.4E-2</v>
      </c>
      <c r="F124" s="201">
        <v>3.7999999999999999E-2</v>
      </c>
      <c r="G124" s="231">
        <v>4.4999999999999998E-2</v>
      </c>
      <c r="H124" s="158"/>
      <c r="I124" s="158"/>
      <c r="J124" s="158"/>
      <c r="K124" s="158"/>
      <c r="L124" s="158"/>
      <c r="M124" s="158"/>
      <c r="N124" s="158"/>
      <c r="O124" s="158"/>
      <c r="P124" s="158"/>
      <c r="R124" s="241" t="s">
        <v>261</v>
      </c>
      <c r="S124" s="169">
        <v>51.8</v>
      </c>
      <c r="T124" s="229">
        <v>7.0000000000000001E-3</v>
      </c>
      <c r="U124" s="230">
        <v>2.4E-2</v>
      </c>
      <c r="V124" s="201">
        <v>3.7999999999999999E-2</v>
      </c>
      <c r="W124" s="231">
        <v>4.4999999999999998E-2</v>
      </c>
      <c r="X124" s="158"/>
      <c r="Y124" s="158"/>
      <c r="Z124" s="158"/>
      <c r="AA124" s="158"/>
      <c r="AB124" s="158"/>
      <c r="AC124" s="158"/>
      <c r="AD124" s="158"/>
      <c r="AE124" s="158"/>
      <c r="AF124" s="158"/>
      <c r="AH124" s="241" t="s">
        <v>261</v>
      </c>
      <c r="AI124" s="169">
        <v>51.8</v>
      </c>
      <c r="AJ124" s="229">
        <v>7.0000000000000001E-3</v>
      </c>
      <c r="AK124" s="230">
        <v>2.4E-2</v>
      </c>
      <c r="AL124" s="201">
        <v>3.7999999999999999E-2</v>
      </c>
      <c r="AM124" s="231">
        <v>4.4999999999999998E-2</v>
      </c>
      <c r="AN124" s="158"/>
      <c r="AO124" s="158"/>
      <c r="AP124" s="158"/>
      <c r="AQ124" s="158"/>
      <c r="AR124" s="158"/>
      <c r="AS124" s="158"/>
      <c r="AT124" s="158"/>
      <c r="AU124" s="158"/>
      <c r="AV124" s="158"/>
      <c r="AX124" s="241" t="s">
        <v>261</v>
      </c>
      <c r="AY124" s="169">
        <v>51.8</v>
      </c>
      <c r="AZ124" s="229">
        <v>7.0000000000000001E-3</v>
      </c>
      <c r="BA124" s="230">
        <v>2.4E-2</v>
      </c>
      <c r="BB124" s="201">
        <v>3.7999999999999999E-2</v>
      </c>
      <c r="BC124" s="231">
        <v>4.4999999999999998E-2</v>
      </c>
      <c r="BD124" s="158"/>
      <c r="BE124" s="158"/>
      <c r="BF124" s="158"/>
      <c r="BG124" s="158"/>
      <c r="BH124" s="158"/>
      <c r="BI124" s="158"/>
      <c r="BJ124" s="158"/>
      <c r="BK124" s="158"/>
      <c r="BL124" s="158"/>
      <c r="BN124" s="241" t="s">
        <v>261</v>
      </c>
      <c r="BO124" s="169">
        <v>51.8</v>
      </c>
      <c r="BP124" s="229">
        <v>7.0000000000000001E-3</v>
      </c>
      <c r="BQ124" s="230">
        <v>2.4E-2</v>
      </c>
      <c r="BR124" s="201">
        <v>3.7999999999999999E-2</v>
      </c>
      <c r="BS124" s="231">
        <v>4.4999999999999998E-2</v>
      </c>
      <c r="BT124" s="158"/>
      <c r="BU124" s="158"/>
      <c r="BV124" s="158"/>
      <c r="BW124" s="158"/>
      <c r="BX124" s="158"/>
      <c r="BY124" s="158"/>
      <c r="BZ124" s="158"/>
      <c r="CA124" s="158"/>
      <c r="CB124" s="158"/>
      <c r="CD124" s="241" t="s">
        <v>261</v>
      </c>
      <c r="CE124" s="169">
        <v>51.8</v>
      </c>
      <c r="CF124" s="169"/>
      <c r="CG124" s="229">
        <v>7.0000000000000001E-3</v>
      </c>
      <c r="CH124" s="230">
        <v>2.4E-2</v>
      </c>
      <c r="CI124" s="201">
        <v>3.7999999999999999E-2</v>
      </c>
      <c r="CJ124" s="231">
        <v>4.4999999999999998E-2</v>
      </c>
      <c r="CK124" s="158"/>
      <c r="CL124" s="158"/>
      <c r="CM124" s="158"/>
      <c r="CN124" s="158"/>
      <c r="CO124" s="158"/>
      <c r="CP124" s="158"/>
      <c r="CQ124" s="158"/>
      <c r="CR124" s="158"/>
      <c r="CS124" s="158"/>
      <c r="CU124" s="241" t="s">
        <v>261</v>
      </c>
      <c r="CV124" s="169">
        <v>51.8</v>
      </c>
      <c r="CW124" s="229">
        <v>7.0000000000000001E-3</v>
      </c>
      <c r="CX124" s="230">
        <v>2.4E-2</v>
      </c>
      <c r="CY124" s="201">
        <v>3.7999999999999999E-2</v>
      </c>
      <c r="CZ124" s="231">
        <v>4.4999999999999998E-2</v>
      </c>
      <c r="DA124" s="158"/>
      <c r="DB124" s="158"/>
      <c r="DC124" s="158"/>
      <c r="DD124" s="158"/>
      <c r="DE124" s="158"/>
      <c r="DF124" s="158"/>
      <c r="DG124" s="158"/>
      <c r="DH124" s="158"/>
      <c r="DI124" s="158"/>
    </row>
    <row r="125" spans="1:113" x14ac:dyDescent="0.2">
      <c r="A125" s="363"/>
      <c r="B125" s="241" t="s">
        <v>262</v>
      </c>
      <c r="C125" s="169">
        <v>51.3</v>
      </c>
      <c r="D125" s="232">
        <v>8.9999999999999993E-3</v>
      </c>
      <c r="E125" s="233">
        <v>2.5999999999999999E-2</v>
      </c>
      <c r="F125" s="234">
        <v>3.7999999999999999E-2</v>
      </c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R125" s="241" t="s">
        <v>262</v>
      </c>
      <c r="S125" s="169">
        <v>51.3</v>
      </c>
      <c r="T125" s="232">
        <v>8.9999999999999993E-3</v>
      </c>
      <c r="U125" s="233">
        <v>2.5999999999999999E-2</v>
      </c>
      <c r="V125" s="234">
        <v>3.7999999999999999E-2</v>
      </c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  <c r="AH125" s="241" t="s">
        <v>262</v>
      </c>
      <c r="AI125" s="169">
        <v>51.3</v>
      </c>
      <c r="AJ125" s="232">
        <v>8.9999999999999993E-3</v>
      </c>
      <c r="AK125" s="233">
        <v>2.5999999999999999E-2</v>
      </c>
      <c r="AL125" s="234">
        <v>3.7999999999999999E-2</v>
      </c>
      <c r="AM125" s="158"/>
      <c r="AN125" s="158"/>
      <c r="AO125" s="158"/>
      <c r="AP125" s="158"/>
      <c r="AQ125" s="158"/>
      <c r="AR125" s="158"/>
      <c r="AS125" s="158"/>
      <c r="AT125" s="158"/>
      <c r="AU125" s="158"/>
      <c r="AV125" s="158"/>
      <c r="AX125" s="241" t="s">
        <v>262</v>
      </c>
      <c r="AY125" s="169">
        <v>51.3</v>
      </c>
      <c r="AZ125" s="232">
        <v>8.9999999999999993E-3</v>
      </c>
      <c r="BA125" s="233">
        <v>2.5999999999999999E-2</v>
      </c>
      <c r="BB125" s="234">
        <v>3.7999999999999999E-2</v>
      </c>
      <c r="BC125" s="158"/>
      <c r="BD125" s="158"/>
      <c r="BE125" s="158"/>
      <c r="BF125" s="158"/>
      <c r="BG125" s="158"/>
      <c r="BH125" s="158"/>
      <c r="BI125" s="158"/>
      <c r="BJ125" s="158"/>
      <c r="BK125" s="158"/>
      <c r="BL125" s="158"/>
      <c r="BN125" s="241" t="s">
        <v>262</v>
      </c>
      <c r="BO125" s="169">
        <v>51.3</v>
      </c>
      <c r="BP125" s="232">
        <v>8.9999999999999993E-3</v>
      </c>
      <c r="BQ125" s="233">
        <v>2.5999999999999999E-2</v>
      </c>
      <c r="BR125" s="234">
        <v>3.7999999999999999E-2</v>
      </c>
      <c r="BS125" s="158"/>
      <c r="BT125" s="158"/>
      <c r="BU125" s="158"/>
      <c r="BV125" s="158"/>
      <c r="BW125" s="158"/>
      <c r="BX125" s="158"/>
      <c r="BY125" s="158"/>
      <c r="BZ125" s="158"/>
      <c r="CA125" s="158"/>
      <c r="CB125" s="158"/>
      <c r="CD125" s="241" t="s">
        <v>262</v>
      </c>
      <c r="CE125" s="169">
        <v>51.3</v>
      </c>
      <c r="CF125" s="169"/>
      <c r="CG125" s="232">
        <v>8.9999999999999993E-3</v>
      </c>
      <c r="CH125" s="233">
        <v>2.5999999999999999E-2</v>
      </c>
      <c r="CI125" s="234">
        <v>3.7999999999999999E-2</v>
      </c>
      <c r="CJ125" s="158"/>
      <c r="CK125" s="158"/>
      <c r="CL125" s="158"/>
      <c r="CM125" s="158"/>
      <c r="CN125" s="158"/>
      <c r="CO125" s="158"/>
      <c r="CP125" s="158"/>
      <c r="CQ125" s="158"/>
      <c r="CR125" s="158"/>
      <c r="CS125" s="158"/>
      <c r="CU125" s="241" t="s">
        <v>262</v>
      </c>
      <c r="CV125" s="169">
        <v>51.3</v>
      </c>
      <c r="CW125" s="232">
        <v>8.9999999999999993E-3</v>
      </c>
      <c r="CX125" s="233">
        <v>2.5999999999999999E-2</v>
      </c>
      <c r="CY125" s="234">
        <v>3.7999999999999999E-2</v>
      </c>
      <c r="CZ125" s="158"/>
      <c r="DA125" s="158"/>
      <c r="DB125" s="158"/>
      <c r="DC125" s="158"/>
      <c r="DD125" s="158"/>
      <c r="DE125" s="158"/>
      <c r="DF125" s="158"/>
      <c r="DG125" s="158"/>
      <c r="DH125" s="158"/>
      <c r="DI125" s="158"/>
    </row>
    <row r="126" spans="1:113" x14ac:dyDescent="0.2">
      <c r="A126" s="363"/>
      <c r="B126" s="241" t="s">
        <v>263</v>
      </c>
      <c r="C126" s="169">
        <v>57.6</v>
      </c>
      <c r="D126" s="235">
        <v>8.9999999999999993E-3</v>
      </c>
      <c r="E126" s="236">
        <v>2.5000000000000001E-2</v>
      </c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R126" s="241" t="s">
        <v>263</v>
      </c>
      <c r="S126" s="169">
        <v>57.6</v>
      </c>
      <c r="T126" s="235">
        <v>8.9999999999999993E-3</v>
      </c>
      <c r="U126" s="236">
        <v>2.5000000000000001E-2</v>
      </c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  <c r="AH126" s="241" t="s">
        <v>263</v>
      </c>
      <c r="AI126" s="169">
        <v>57.6</v>
      </c>
      <c r="AJ126" s="235">
        <v>8.9999999999999993E-3</v>
      </c>
      <c r="AK126" s="236">
        <v>2.5000000000000001E-2</v>
      </c>
      <c r="AL126" s="158"/>
      <c r="AM126" s="158"/>
      <c r="AN126" s="158"/>
      <c r="AO126" s="158"/>
      <c r="AP126" s="158"/>
      <c r="AQ126" s="158"/>
      <c r="AR126" s="158"/>
      <c r="AS126" s="158"/>
      <c r="AT126" s="158"/>
      <c r="AU126" s="158"/>
      <c r="AV126" s="158"/>
      <c r="AX126" s="241" t="s">
        <v>263</v>
      </c>
      <c r="AY126" s="169">
        <v>57.6</v>
      </c>
      <c r="AZ126" s="235">
        <v>8.9999999999999993E-3</v>
      </c>
      <c r="BA126" s="236">
        <v>2.5000000000000001E-2</v>
      </c>
      <c r="BB126" s="158"/>
      <c r="BC126" s="158"/>
      <c r="BD126" s="158"/>
      <c r="BE126" s="158"/>
      <c r="BF126" s="158"/>
      <c r="BG126" s="158"/>
      <c r="BH126" s="158"/>
      <c r="BI126" s="158"/>
      <c r="BJ126" s="158"/>
      <c r="BK126" s="158"/>
      <c r="BL126" s="158"/>
      <c r="BN126" s="241" t="s">
        <v>263</v>
      </c>
      <c r="BO126" s="169">
        <v>57.6</v>
      </c>
      <c r="BP126" s="235">
        <v>8.9999999999999993E-3</v>
      </c>
      <c r="BQ126" s="236">
        <v>2.5000000000000001E-2</v>
      </c>
      <c r="BR126" s="158"/>
      <c r="BS126" s="158"/>
      <c r="BT126" s="158"/>
      <c r="BU126" s="158"/>
      <c r="BV126" s="158"/>
      <c r="BW126" s="158"/>
      <c r="BX126" s="158"/>
      <c r="BY126" s="158"/>
      <c r="BZ126" s="158"/>
      <c r="CA126" s="158"/>
      <c r="CB126" s="158"/>
      <c r="CD126" s="241" t="s">
        <v>263</v>
      </c>
      <c r="CE126" s="169">
        <v>57.6</v>
      </c>
      <c r="CF126" s="169"/>
      <c r="CG126" s="235">
        <v>8.9999999999999993E-3</v>
      </c>
      <c r="CH126" s="236">
        <v>2.5000000000000001E-2</v>
      </c>
      <c r="CI126" s="158"/>
      <c r="CJ126" s="158"/>
      <c r="CK126" s="158"/>
      <c r="CL126" s="158"/>
      <c r="CM126" s="158"/>
      <c r="CN126" s="158"/>
      <c r="CO126" s="158"/>
      <c r="CP126" s="158"/>
      <c r="CQ126" s="158"/>
      <c r="CR126" s="158"/>
      <c r="CS126" s="158"/>
      <c r="CU126" s="241" t="s">
        <v>263</v>
      </c>
      <c r="CV126" s="169">
        <v>57.6</v>
      </c>
      <c r="CW126" s="235">
        <v>8.9999999999999993E-3</v>
      </c>
      <c r="CX126" s="236">
        <v>2.5000000000000001E-2</v>
      </c>
      <c r="CY126" s="158"/>
      <c r="CZ126" s="158"/>
      <c r="DA126" s="158"/>
      <c r="DB126" s="158"/>
      <c r="DC126" s="158"/>
      <c r="DD126" s="158"/>
      <c r="DE126" s="158"/>
      <c r="DF126" s="158"/>
      <c r="DG126" s="158"/>
      <c r="DH126" s="158"/>
      <c r="DI126" s="158"/>
    </row>
    <row r="127" spans="1:113" ht="16" thickBot="1" x14ac:dyDescent="0.25">
      <c r="A127" s="364"/>
      <c r="B127" s="242" t="s">
        <v>271</v>
      </c>
      <c r="C127" s="237">
        <v>53.5</v>
      </c>
      <c r="D127" s="238">
        <v>7.0000000000000001E-3</v>
      </c>
      <c r="E127" s="239"/>
      <c r="F127" s="239"/>
      <c r="G127" s="239"/>
      <c r="H127" s="239"/>
      <c r="I127" s="239"/>
      <c r="J127" s="239"/>
      <c r="K127" s="239"/>
      <c r="L127" s="239"/>
      <c r="M127" s="239"/>
      <c r="N127" s="239"/>
      <c r="O127" s="239"/>
      <c r="P127" s="239"/>
      <c r="R127" s="242" t="s">
        <v>271</v>
      </c>
      <c r="S127" s="237">
        <v>53.5</v>
      </c>
      <c r="T127" s="238">
        <v>7.0000000000000001E-3</v>
      </c>
      <c r="U127" s="239"/>
      <c r="V127" s="239"/>
      <c r="W127" s="239"/>
      <c r="X127" s="239"/>
      <c r="Y127" s="239"/>
      <c r="Z127" s="239"/>
      <c r="AA127" s="239"/>
      <c r="AB127" s="239"/>
      <c r="AC127" s="239"/>
      <c r="AD127" s="239"/>
      <c r="AE127" s="239"/>
      <c r="AF127" s="239"/>
      <c r="AH127" s="242" t="s">
        <v>271</v>
      </c>
      <c r="AI127" s="237">
        <v>53.5</v>
      </c>
      <c r="AJ127" s="238">
        <v>7.0000000000000001E-3</v>
      </c>
      <c r="AK127" s="239"/>
      <c r="AL127" s="239"/>
      <c r="AM127" s="239"/>
      <c r="AN127" s="239"/>
      <c r="AO127" s="239"/>
      <c r="AP127" s="239"/>
      <c r="AQ127" s="239"/>
      <c r="AR127" s="239"/>
      <c r="AS127" s="239"/>
      <c r="AT127" s="239"/>
      <c r="AU127" s="239"/>
      <c r="AV127" s="239"/>
      <c r="AX127" s="242" t="s">
        <v>271</v>
      </c>
      <c r="AY127" s="237">
        <v>53.5</v>
      </c>
      <c r="AZ127" s="238">
        <v>7.0000000000000001E-3</v>
      </c>
      <c r="BA127" s="239"/>
      <c r="BB127" s="239"/>
      <c r="BC127" s="239"/>
      <c r="BD127" s="239"/>
      <c r="BE127" s="239"/>
      <c r="BF127" s="239"/>
      <c r="BG127" s="239"/>
      <c r="BH127" s="239"/>
      <c r="BI127" s="239"/>
      <c r="BJ127" s="239"/>
      <c r="BK127" s="239"/>
      <c r="BL127" s="239"/>
      <c r="BN127" s="242" t="s">
        <v>271</v>
      </c>
      <c r="BO127" s="237">
        <v>53.5</v>
      </c>
      <c r="BP127" s="238">
        <v>7.0000000000000001E-3</v>
      </c>
      <c r="BQ127" s="239"/>
      <c r="BR127" s="239"/>
      <c r="BS127" s="239"/>
      <c r="BT127" s="239"/>
      <c r="BU127" s="239"/>
      <c r="BV127" s="239"/>
      <c r="BW127" s="239"/>
      <c r="BX127" s="239"/>
      <c r="BY127" s="239"/>
      <c r="BZ127" s="239"/>
      <c r="CA127" s="239"/>
      <c r="CB127" s="239"/>
      <c r="CD127" s="242" t="s">
        <v>271</v>
      </c>
      <c r="CE127" s="237">
        <v>53.5</v>
      </c>
      <c r="CF127" s="237"/>
      <c r="CG127" s="238">
        <v>7.0000000000000001E-3</v>
      </c>
      <c r="CH127" s="239"/>
      <c r="CI127" s="239"/>
      <c r="CJ127" s="239"/>
      <c r="CK127" s="239"/>
      <c r="CL127" s="239"/>
      <c r="CM127" s="239"/>
      <c r="CN127" s="239"/>
      <c r="CO127" s="239"/>
      <c r="CP127" s="239"/>
      <c r="CQ127" s="239"/>
      <c r="CR127" s="239"/>
      <c r="CS127" s="239"/>
      <c r="CU127" s="242" t="s">
        <v>271</v>
      </c>
      <c r="CV127" s="237">
        <v>53.5</v>
      </c>
      <c r="CW127" s="238">
        <v>7.0000000000000001E-3</v>
      </c>
      <c r="CX127" s="239"/>
      <c r="CY127" s="239"/>
      <c r="CZ127" s="239"/>
      <c r="DA127" s="239"/>
      <c r="DB127" s="239"/>
      <c r="DC127" s="239"/>
      <c r="DD127" s="239"/>
      <c r="DE127" s="239"/>
      <c r="DF127" s="239"/>
      <c r="DG127" s="239"/>
      <c r="DH127" s="239"/>
      <c r="DI127" s="239"/>
    </row>
  </sheetData>
  <mergeCells count="64">
    <mergeCell ref="A97:A111"/>
    <mergeCell ref="B97:P97"/>
    <mergeCell ref="A113:A127"/>
    <mergeCell ref="B113:P113"/>
    <mergeCell ref="A81:A95"/>
    <mergeCell ref="B81:P81"/>
    <mergeCell ref="A49:A63"/>
    <mergeCell ref="B49:P49"/>
    <mergeCell ref="A65:A79"/>
    <mergeCell ref="B65:P65"/>
    <mergeCell ref="B1:P1"/>
    <mergeCell ref="A1:A15"/>
    <mergeCell ref="A17:A31"/>
    <mergeCell ref="A33:A47"/>
    <mergeCell ref="B33:P33"/>
    <mergeCell ref="B17:P17"/>
    <mergeCell ref="R49:AF49"/>
    <mergeCell ref="AH49:AV49"/>
    <mergeCell ref="R1:AF1"/>
    <mergeCell ref="R33:AF33"/>
    <mergeCell ref="R65:AF65"/>
    <mergeCell ref="AX1:BL1"/>
    <mergeCell ref="BN1:CB1"/>
    <mergeCell ref="CD1:CS1"/>
    <mergeCell ref="R17:AF17"/>
    <mergeCell ref="AH17:AV17"/>
    <mergeCell ref="AX17:BL17"/>
    <mergeCell ref="BN17:CB17"/>
    <mergeCell ref="CD17:CS17"/>
    <mergeCell ref="AH1:AV1"/>
    <mergeCell ref="AX49:BL49"/>
    <mergeCell ref="BN49:CB49"/>
    <mergeCell ref="CD49:CS49"/>
    <mergeCell ref="AH33:AV33"/>
    <mergeCell ref="AX65:BL65"/>
    <mergeCell ref="BN65:CB65"/>
    <mergeCell ref="CD65:CS65"/>
    <mergeCell ref="AH65:AV65"/>
    <mergeCell ref="AX33:BL33"/>
    <mergeCell ref="BN33:CB33"/>
    <mergeCell ref="CD33:CS33"/>
    <mergeCell ref="R81:AF81"/>
    <mergeCell ref="AH81:AV81"/>
    <mergeCell ref="AX81:BL81"/>
    <mergeCell ref="BN81:CB81"/>
    <mergeCell ref="CD81:CS81"/>
    <mergeCell ref="AH113:AV113"/>
    <mergeCell ref="AX113:BL113"/>
    <mergeCell ref="BN113:CB113"/>
    <mergeCell ref="CD113:CS113"/>
    <mergeCell ref="R97:AF97"/>
    <mergeCell ref="AH97:AV97"/>
    <mergeCell ref="AX97:BL97"/>
    <mergeCell ref="BN97:CB97"/>
    <mergeCell ref="CD97:CS97"/>
    <mergeCell ref="R113:AF113"/>
    <mergeCell ref="CU97:DI97"/>
    <mergeCell ref="CU113:DI113"/>
    <mergeCell ref="CU1:DI1"/>
    <mergeCell ref="CU17:DI17"/>
    <mergeCell ref="CU33:DI33"/>
    <mergeCell ref="CU49:DI49"/>
    <mergeCell ref="CU65:DI65"/>
    <mergeCell ref="CU81:DI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Over All Level</vt:lpstr>
      <vt:lpstr>Product wise</vt:lpstr>
      <vt:lpstr>PQR variable template</vt:lpstr>
      <vt:lpstr>Net Flow Rate</vt:lpstr>
      <vt:lpstr>Collection Metrics</vt:lpstr>
      <vt:lpstr>Roll Rate</vt:lpstr>
      <vt:lpstr>Non_Starter Analysis</vt:lpstr>
      <vt:lpstr>Business Support-Risk Analytics</vt:lpstr>
      <vt:lpstr>TDD Pre Disbursal</vt:lpstr>
      <vt:lpstr>TDD Post Disbursal</vt:lpstr>
      <vt:lpstr>Static Pool</vt:lpstr>
      <vt:lpstr>'Non_Starter Analysis'!B</vt:lpstr>
      <vt:lpstr>'Non_Starter Analysis'!Print_Area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Biswajit Shukla</dc:creator>
  <cp:keywords/>
  <dc:description/>
  <cp:lastModifiedBy>Dewashish Dey</cp:lastModifiedBy>
  <cp:revision/>
  <dcterms:created xsi:type="dcterms:W3CDTF">2015-06-05T18:17:20Z</dcterms:created>
  <dcterms:modified xsi:type="dcterms:W3CDTF">2026-03-05T08:31:40Z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2025-05-26T09:32:02Z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895a0e7d-6a29-43b2-badc-7d66e4cd7b56</vt:lpwstr>
  </property>
  <property fmtid="{D5CDD505-2E9C-101B-9397-08002B2CF9AE}" pid="7" name="MSIP_Label_defa4170-0d19-0005-0004-bc88714345d2_ActionId">
    <vt:lpwstr>58174329-ea84-4c22-87b6-366d433908a3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